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900" windowHeight="4320" tabRatio="600" firstSheet="1" activeTab="1" autoFilterDateGrouping="1"/>
  </bookViews>
  <sheets>
    <sheet name="MIXEIRO" sheetId="1" state="hidden" r:id="rId1"/>
    <sheet name="NOME DO PROJECTO" sheetId="2" state="visible" r:id="rId2"/>
  </sheets>
  <definedNames>
    <definedName name="MIXEIRO">MIXEIRO!PeriodoInPlanejado*(#REF!&gt;0)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o">PeriodoInPlanejado*(#REF!&gt;0)</definedName>
    <definedName name="PorcentagemConcluída">PorcentagemConcluídaPosterior*PeriodoInPlanejado</definedName>
    <definedName name="PorcentagemConcluídaPosterior">(#REF!=MEDIAN(#REF!,#REF!,#REF!+#REF!)*(#REF!&gt;0))*((#REF!&lt;(INT(#REF!+#REF!*#REF!)))+(#REF!=#REF!))*(#REF!&gt;0)</definedName>
    <definedName name="Real">(PeriodoInReal*(#REF!&gt;0))*PeriodoInPlanejado</definedName>
    <definedName name="RealPosterior">PeriodoInReal*(#REF!&gt;0)</definedName>
    <definedName name="PeriodoInPlanejado" localSheetId="0">MIXEIRO!A$9=MEDIAN(MIXEIRO!A$9,MIXEIRO!$D1,MIXEIRO!$D1+MIXEIRO!$E1-1)</definedName>
    <definedName name="PeriodoInReal" localSheetId="0">MIXEIRO!A$9=MEDIAN(MIXEIRO!A$9,MIXEIRO!$F1,MIXEIRO!$F1+MIXEIRO!$G1-1)</definedName>
    <definedName name="_xlnm.Print_Area" localSheetId="0">MIXEIRO!$A$1:$R$22</definedName>
    <definedName name="_xlnm.Print_Area" localSheetId="0">'MIXEIRO'!$A$1:$T$16</definedName>
    <definedName name="MIXEIRO" localSheetId="1">#N/A</definedName>
    <definedName name="periodo_selecionado" localSheetId="1">'NOME DO PROJECTO'!$I$4</definedName>
    <definedName name="PeriodoInPlanejado" localSheetId="1">'NOME DO PROJECTO'!A$9=MEDIAN('NOME DO PROJECTO'!A$9,'NOME DO PROJECTO'!$F1,'NOME DO PROJECTO'!$F1+'NOME DO PROJECTO'!$G1-1)</definedName>
    <definedName name="PeriodoInReal" localSheetId="1">'NOME DO PROJECTO'!A$9=MEDIAN('NOME DO PROJECTO'!A$9,'NOME DO PROJECTO'!$H1,'NOME DO PROJECTO'!$H1+'NOME DO PROJECTO'!$I1-1)</definedName>
    <definedName name="Plano" localSheetId="1">'NOME DO PROJECTO'!PeriodoInPlanejado*('NOME DO PROJECTO'!$F1&gt;0)</definedName>
    <definedName name="PorcentagemConcluída" localSheetId="1">'NOME DO PROJECTO'!PorcentagemConcluídaPosterior*'NOME DO PROJECTO'!PeriodoInPlanejado</definedName>
    <definedName name="PorcentagemConcluídaPosterior" localSheetId="1">('NOME DO PROJECTO'!A$9=MEDIAN('NOME DO PROJECTO'!A$9,'NOME DO PROJECTO'!$H1,'NOME DO PROJECTO'!$H1+'NOME DO PROJECTO'!$I1)*('NOME DO PROJECTO'!$H1&gt;0))*(('NOME DO PROJECTO'!A$9&lt;(INT('NOME DO PROJECTO'!$H1+'NOME DO PROJECTO'!$I1*'NOME DO PROJECTO'!$J1)))+('NOME DO PROJECTO'!A$9='NOME DO PROJECTO'!$H1))*('NOME DO PROJECTO'!$J1&gt;0)</definedName>
    <definedName name="_xlnm.Print_Area" localSheetId="1">'NOME DO PROJECTO'!$A$1:$Z$18</definedName>
    <definedName name="Real" localSheetId="1">('NOME DO PROJECTO'!PeriodoInReal*('NOME DO PROJECTO'!$H1&gt;0))*'NOME DO PROJECTO'!PeriodoInPlanejado</definedName>
    <definedName name="RealPosterior" localSheetId="1">'NOME DO PROJECTO'!PeriodoInReal*('NOME DO PROJECTO'!$H1&gt;0)</definedName>
    <definedName name="_xlnm.Print_Area" localSheetId="1">'NOME DO PROJECTO'!$A$1:$Z$54</definedName>
  </definedNames>
  <calcPr calcId="152511" calcMode="auto" fullCalcOnLoad="1" forceFullCalc="1"/>
</workbook>
</file>

<file path=xl/styles.xml><?xml version="1.0" encoding="utf-8"?>
<styleSheet xmlns="http://schemas.openxmlformats.org/spreadsheetml/2006/main">
  <numFmts count="0"/>
  <fonts count="25">
    <font>
      <name val="Corbel"/>
      <family val="2"/>
      <color theme="1" tint="0.249946592608417"/>
      <sz val="11"/>
      <scheme val="major"/>
    </font>
    <font>
      <name val="Calibri"/>
      <family val="2"/>
      <color theme="1" tint="0.249946592608417"/>
      <sz val="14"/>
      <scheme val="minor"/>
    </font>
    <font>
      <name val="Corbel"/>
      <family val="2"/>
      <b val="1"/>
      <color theme="1" tint="0.249946592608417"/>
      <sz val="13"/>
      <scheme val="major"/>
    </font>
    <font>
      <name val="Corbel"/>
      <family val="2"/>
      <b val="1"/>
      <color theme="7"/>
      <sz val="13"/>
      <scheme val="major"/>
    </font>
    <font>
      <name val="Calibri"/>
      <family val="2"/>
      <color theme="1" tint="0.249946592608417"/>
      <sz val="12"/>
    </font>
    <font>
      <name val="Calibri"/>
      <family val="2"/>
      <b val="1"/>
      <color theme="7"/>
      <sz val="13"/>
    </font>
    <font>
      <name val="Calibri"/>
      <family val="2"/>
      <color theme="1" tint="0.249946592608417"/>
      <sz val="12"/>
    </font>
    <font>
      <name val="Corbel"/>
      <family val="2"/>
      <b val="1"/>
      <color theme="7"/>
      <sz val="42"/>
      <scheme val="major"/>
    </font>
    <font>
      <name val="Calibri"/>
      <family val="2"/>
      <b val="1"/>
      <color theme="1" tint="0.499984740745262"/>
      <sz val="9.5"/>
      <scheme val="minor"/>
    </font>
    <font>
      <name val="Calibri"/>
      <family val="2"/>
      <b val="1"/>
      <color theme="1" tint="0.249946592608417"/>
      <sz val="11"/>
      <scheme val="minor"/>
    </font>
    <font>
      <name val="Calibri"/>
      <family val="2"/>
      <color theme="1" tint="0.249946592608417"/>
      <sz val="12"/>
      <scheme val="minor"/>
    </font>
    <font>
      <name val="Corbel"/>
      <family val="2"/>
      <b val="1"/>
      <color theme="7"/>
      <sz val="20"/>
      <scheme val="major"/>
    </font>
    <font>
      <name val="Calibri"/>
      <family val="2"/>
      <b val="1"/>
      <color theme="1" tint="0.499984740745262"/>
      <sz val="8"/>
      <scheme val="minor"/>
    </font>
    <font>
      <name val="Corbel"/>
      <family val="2"/>
      <i val="1"/>
      <color theme="1"/>
      <sz val="10"/>
      <scheme val="major"/>
    </font>
    <font>
      <name val="Corbel"/>
      <family val="2"/>
      <i val="1"/>
      <color theme="1" tint="0.249946592608417"/>
      <sz val="10"/>
      <scheme val="major"/>
    </font>
    <font>
      <name val="Corbel"/>
      <family val="2"/>
      <color theme="1" tint="0.249946592608417"/>
      <sz val="10"/>
      <scheme val="major"/>
    </font>
    <font>
      <name val="Corbel"/>
      <family val="2"/>
      <b val="1"/>
      <color theme="2"/>
      <sz val="13"/>
      <scheme val="major"/>
    </font>
    <font>
      <name val="Corbel"/>
      <family val="2"/>
      <b val="1"/>
      <color theme="2"/>
      <sz val="11"/>
      <scheme val="major"/>
    </font>
    <font>
      <name val="Corbel"/>
      <family val="2"/>
      <b val="1"/>
      <color theme="2"/>
      <sz val="10"/>
      <scheme val="major"/>
    </font>
    <font>
      <name val="Calibri"/>
      <family val="2"/>
      <b val="1"/>
      <color theme="2"/>
      <sz val="12"/>
    </font>
    <font>
      <name val="Calibri"/>
      <family val="2"/>
      <b val="1"/>
      <color theme="2"/>
      <sz val="13"/>
    </font>
    <font>
      <name val="Corbel"/>
      <family val="2"/>
      <b val="1"/>
      <i val="1"/>
      <color theme="2"/>
      <sz val="10"/>
      <scheme val="major"/>
    </font>
    <font>
      <name val="Corbel"/>
      <family val="2"/>
      <color theme="1" tint="0.249946592608417"/>
      <sz val="8"/>
      <scheme val="major"/>
    </font>
    <font>
      <name val="Corbel"/>
      <family val="2"/>
      <b val="1"/>
      <color theme="2"/>
      <sz val="8"/>
      <scheme val="major"/>
    </font>
    <font>
      <name val="Corbel"/>
      <family val="2"/>
      <i val="1"/>
      <color theme="1"/>
      <sz val="8"/>
      <scheme val="major"/>
    </font>
  </fonts>
  <fills count="9">
    <fill>
      <patternFill/>
    </fill>
    <fill>
      <patternFill patternType="gray125"/>
    </fill>
    <fill>
      <patternFill patternType="lightUp">
        <fgColor theme="7"/>
        <bgColor theme="7" tint="0.5999633777886288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"/>
      </patternFill>
    </fill>
    <fill>
      <patternFill patternType="solid">
        <fgColor theme="9"/>
        <bgColor auto="1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57">
    <border>
      <left/>
      <right/>
      <top/>
      <bottom/>
      <diagonal/>
    </border>
    <border>
      <left/>
      <right/>
      <top style="thin">
        <color theme="9" tint="-0.249946592608417"/>
      </top>
      <bottom style="thin">
        <color theme="9" tint="-0.24994659260841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8">
    <xf numFmtId="0" fontId="0" fillId="0" borderId="0" applyAlignment="1">
      <alignment vertical="center"/>
    </xf>
    <xf numFmtId="0" fontId="7" fillId="0" borderId="0"/>
    <xf numFmtId="0" fontId="2" fillId="0" borderId="0" applyAlignment="1">
      <alignment horizontal="left"/>
    </xf>
    <xf numFmtId="3" fontId="8" fillId="0" borderId="3" applyAlignment="1">
      <alignment horizontal="center"/>
    </xf>
    <xf numFmtId="0" fontId="8" fillId="0" borderId="0" applyAlignment="1">
      <alignment horizontal="center"/>
    </xf>
    <xf numFmtId="0" fontId="1" fillId="0" borderId="0" applyAlignment="1">
      <alignment horizontal="left" vertical="center"/>
    </xf>
    <xf numFmtId="9" fontId="3" fillId="0" borderId="0" applyAlignment="1">
      <alignment horizontal="center" vertical="center"/>
    </xf>
    <xf numFmtId="0" fontId="9" fillId="6" borderId="1" applyAlignment="1">
      <alignment horizontal="left" vertical="center"/>
    </xf>
  </cellStyleXfs>
  <cellXfs count="19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left"/>
    </xf>
    <xf numFmtId="3" fontId="8" fillId="0" borderId="3" applyAlignment="1" pivotButton="0" quotePrefix="0" xfId="3">
      <alignment horizontal="center"/>
    </xf>
    <xf numFmtId="0" fontId="8" fillId="0" borderId="0" applyAlignment="1" pivotButton="0" quotePrefix="0" xfId="4">
      <alignment horizontal="center"/>
    </xf>
    <xf numFmtId="0" fontId="0" fillId="0" borderId="0" applyAlignment="1" pivotButton="0" quotePrefix="0" xfId="5">
      <alignment horizontal="left" vertical="center"/>
    </xf>
    <xf numFmtId="9" fontId="3" fillId="0" borderId="0" applyAlignment="1" pivotButton="0" quotePrefix="0" xfId="6">
      <alignment horizontal="center" vertical="center"/>
    </xf>
    <xf numFmtId="0" fontId="0" fillId="2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6" fillId="0" borderId="0" applyAlignment="1" pivotButton="0" quotePrefix="0" xfId="5">
      <alignment horizontal="left" vertical="center"/>
    </xf>
    <xf numFmtId="0" fontId="10" fillId="6" borderId="1" applyAlignment="1" pivotButton="0" quotePrefix="0" xfId="7">
      <alignment horizontal="left" vertical="center"/>
    </xf>
    <xf numFmtId="0" fontId="0" fillId="0" borderId="4" applyAlignment="1" pivotButton="0" quotePrefix="0" xfId="0">
      <alignment vertical="center"/>
    </xf>
    <xf numFmtId="3" fontId="8" fillId="0" borderId="0" applyAlignment="1" pivotButton="0" quotePrefix="0" xfId="3">
      <alignment horizontal="center"/>
    </xf>
    <xf numFmtId="0" fontId="0" fillId="0" borderId="0" applyAlignment="1" pivotButton="0" quotePrefix="0" xfId="0">
      <alignment vertical="center"/>
    </xf>
    <xf numFmtId="16" fontId="12" fillId="0" borderId="4" applyAlignment="1" pivotButton="0" quotePrefix="0" xfId="4">
      <alignment horizontal="center" textRotation="90"/>
    </xf>
    <xf numFmtId="0" fontId="0" fillId="0" borderId="6" applyAlignment="1" pivotButton="0" quotePrefix="0" xfId="0">
      <alignment vertical="center"/>
    </xf>
    <xf numFmtId="0" fontId="0" fillId="3" borderId="0" applyAlignment="1" pivotButton="0" quotePrefix="0" xfId="0">
      <alignment horizontal="center"/>
    </xf>
    <xf numFmtId="0" fontId="8" fillId="0" borderId="5" pivotButton="0" quotePrefix="0" xfId="4"/>
    <xf numFmtId="0" fontId="8" fillId="0" borderId="8" pivotButton="0" quotePrefix="0" xfId="4"/>
    <xf numFmtId="0" fontId="4" fillId="0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11" applyAlignment="1" pivotButton="0" quotePrefix="0" xfId="0">
      <alignment vertical="center"/>
    </xf>
    <xf numFmtId="3" fontId="8" fillId="7" borderId="12" applyAlignment="1" pivotButton="0" quotePrefix="0" xfId="3">
      <alignment horizontal="center"/>
    </xf>
    <xf numFmtId="0" fontId="0" fillId="0" borderId="9" applyAlignment="1" pivotButton="0" quotePrefix="0" xfId="0">
      <alignment horizont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8" fillId="0" borderId="13" pivotButton="0" quotePrefix="0" xfId="4"/>
    <xf numFmtId="0" fontId="8" fillId="0" borderId="14" pivotButton="0" quotePrefix="0" xfId="4"/>
    <xf numFmtId="0" fontId="8" fillId="0" borderId="15" applyAlignment="1" pivotButton="0" quotePrefix="0" xfId="4">
      <alignment vertical="center"/>
    </xf>
    <xf numFmtId="0" fontId="8" fillId="0" borderId="16" applyAlignment="1" pivotButton="0" quotePrefix="0" xfId="4">
      <alignment vertical="center"/>
    </xf>
    <xf numFmtId="0" fontId="8" fillId="0" borderId="17" applyAlignment="1" pivotButton="0" quotePrefix="0" xfId="4">
      <alignment vertical="center"/>
    </xf>
    <xf numFmtId="0" fontId="8" fillId="0" borderId="18" applyAlignment="1" pivotButton="0" quotePrefix="0" xfId="4">
      <alignment vertical="center"/>
    </xf>
    <xf numFmtId="3" fontId="8" fillId="7" borderId="19" applyAlignment="1" pivotButton="0" quotePrefix="0" xfId="3">
      <alignment horizontal="center"/>
    </xf>
    <xf numFmtId="9" fontId="5" fillId="0" borderId="4" applyAlignment="1" pivotButton="0" quotePrefix="0" xfId="6">
      <alignment horizontal="center" vertical="center"/>
    </xf>
    <xf numFmtId="0" fontId="11" fillId="0" borderId="0" pivotButton="0" quotePrefix="0" xfId="1"/>
    <xf numFmtId="1" fontId="4" fillId="0" borderId="4" applyAlignment="1" pivotButton="0" quotePrefix="0" xfId="0">
      <alignment horizontal="center"/>
    </xf>
    <xf numFmtId="0" fontId="0" fillId="0" borderId="26" applyAlignment="1" pivotButton="0" quotePrefix="0" xfId="0">
      <alignment horizontal="center" vertical="center"/>
    </xf>
    <xf numFmtId="3" fontId="8" fillId="7" borderId="27" applyAlignment="1" pivotButton="0" quotePrefix="0" xfId="3">
      <alignment horizontal="center"/>
    </xf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16" fontId="12" fillId="0" borderId="30" applyAlignment="1" pivotButton="0" quotePrefix="0" xfId="4">
      <alignment horizontal="center"/>
    </xf>
    <xf numFmtId="3" fontId="8" fillId="7" borderId="34" applyAlignment="1" pivotButton="0" quotePrefix="0" xfId="3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3" fontId="8" fillId="7" borderId="21" applyAlignment="1" pivotButton="0" quotePrefix="0" xfId="3">
      <alignment horizontal="center"/>
    </xf>
    <xf numFmtId="0" fontId="0" fillId="0" borderId="14" applyAlignment="1" pivotButton="0" quotePrefix="0" xfId="0">
      <alignment horizontal="center"/>
    </xf>
    <xf numFmtId="0" fontId="8" fillId="0" borderId="4" applyAlignment="1" pivotButton="0" quotePrefix="0" xfId="4">
      <alignment horizontal="center"/>
    </xf>
    <xf numFmtId="0" fontId="13" fillId="0" borderId="4" applyAlignment="1" pivotButton="0" quotePrefix="0" xfId="0">
      <alignment horizontal="right"/>
    </xf>
    <xf numFmtId="0" fontId="14" fillId="0" borderId="4" applyAlignment="1" pivotButton="0" quotePrefix="0" xfId="0">
      <alignment horizontal="right"/>
    </xf>
    <xf numFmtId="16" fontId="12" fillId="0" borderId="30" applyAlignment="1" pivotButton="0" quotePrefix="0" xfId="4">
      <alignment horizont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/>
    </xf>
    <xf numFmtId="0" fontId="6" fillId="0" borderId="0" applyAlignment="1" pivotButton="0" quotePrefix="0" xfId="5">
      <alignment horizontal="left" vertical="center"/>
    </xf>
    <xf numFmtId="0" fontId="0" fillId="0" borderId="0" applyAlignment="1" pivotButton="0" quotePrefix="0" xfId="5">
      <alignment horizontal="left" vertical="center"/>
    </xf>
    <xf numFmtId="0" fontId="0" fillId="4" borderId="2" applyAlignment="1" pivotButton="0" quotePrefix="0" xfId="0">
      <alignment horizontal="center" vertical="center"/>
    </xf>
    <xf numFmtId="16" fontId="12" fillId="0" borderId="30" applyAlignment="1" pivotButton="0" quotePrefix="0" xfId="4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2" borderId="38" applyAlignment="1" pivotButton="0" quotePrefix="0" xfId="0">
      <alignment horizontal="center" vertical="center" wrapText="1"/>
    </xf>
    <xf numFmtId="0" fontId="8" fillId="0" borderId="37" applyAlignment="1" pivotButton="0" quotePrefix="0" xfId="4">
      <alignment horizontal="center"/>
    </xf>
    <xf numFmtId="0" fontId="13" fillId="0" borderId="37" applyAlignment="1" pivotButton="0" quotePrefix="0" xfId="0">
      <alignment horizontal="left" wrapText="1"/>
    </xf>
    <xf numFmtId="0" fontId="0" fillId="0" borderId="37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/>
    </xf>
    <xf numFmtId="9" fontId="5" fillId="0" borderId="37" applyAlignment="1" pivotButton="0" quotePrefix="0" xfId="6">
      <alignment horizontal="center" vertical="center"/>
    </xf>
    <xf numFmtId="0" fontId="0" fillId="0" borderId="37" applyAlignment="1" pivotButton="0" quotePrefix="0" xfId="0">
      <alignment horizontal="center" vertical="center" wrapText="1"/>
    </xf>
    <xf numFmtId="1" fontId="4" fillId="0" borderId="37" applyAlignment="1" pivotButton="0" quotePrefix="0" xfId="0">
      <alignment horizontal="center"/>
    </xf>
    <xf numFmtId="3" fontId="8" fillId="7" borderId="37" applyAlignment="1" pivotButton="0" quotePrefix="0" xfId="3">
      <alignment horizontal="center" vertical="center" wrapText="1"/>
    </xf>
    <xf numFmtId="3" fontId="8" fillId="7" borderId="37" applyAlignment="1" pivotButton="0" quotePrefix="0" xfId="3">
      <alignment horizontal="center" vertical="center"/>
    </xf>
    <xf numFmtId="49" fontId="15" fillId="0" borderId="0" applyAlignment="1" pivotButton="0" quotePrefix="0" xfId="2">
      <alignment horizontal="left"/>
    </xf>
    <xf numFmtId="0" fontId="15" fillId="0" borderId="0" applyAlignment="1" pivotButton="0" quotePrefix="0" xfId="2">
      <alignment horizontal="left"/>
    </xf>
    <xf numFmtId="0" fontId="0" fillId="0" borderId="37" applyAlignment="1" pivotButton="0" quotePrefix="0" xfId="0">
      <alignment vertical="center"/>
    </xf>
    <xf numFmtId="49" fontId="15" fillId="0" borderId="37" applyAlignment="1" pivotButton="0" quotePrefix="0" xfId="2">
      <alignment horizontal="left"/>
    </xf>
    <xf numFmtId="0" fontId="0" fillId="0" borderId="37" applyAlignment="1" pivotButton="0" quotePrefix="0" xfId="0">
      <alignment horizontal="center"/>
    </xf>
    <xf numFmtId="0" fontId="15" fillId="0" borderId="37" applyAlignment="1" pivotButton="0" quotePrefix="0" xfId="2">
      <alignment horizontal="left"/>
    </xf>
    <xf numFmtId="9" fontId="16" fillId="8" borderId="37" applyAlignment="1" pivotButton="0" quotePrefix="0" xfId="6">
      <alignment horizontal="center" vertical="center"/>
    </xf>
    <xf numFmtId="0" fontId="17" fillId="8" borderId="37" applyAlignment="1" pivotButton="0" quotePrefix="0" xfId="0">
      <alignment vertical="center"/>
    </xf>
    <xf numFmtId="49" fontId="18" fillId="8" borderId="37" applyAlignment="1" pivotButton="0" quotePrefix="0" xfId="2">
      <alignment horizontal="left"/>
    </xf>
    <xf numFmtId="0" fontId="17" fillId="8" borderId="37" applyAlignment="1" pivotButton="0" quotePrefix="0" xfId="0">
      <alignment horizontal="center"/>
    </xf>
    <xf numFmtId="0" fontId="17" fillId="8" borderId="37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/>
    </xf>
    <xf numFmtId="0" fontId="0" fillId="8" borderId="0" applyAlignment="1" pivotButton="0" quotePrefix="0" xfId="0">
      <alignment vertical="center"/>
    </xf>
    <xf numFmtId="1" fontId="19" fillId="8" borderId="37" applyAlignment="1" pivotButton="0" quotePrefix="0" xfId="0">
      <alignment horizontal="center"/>
    </xf>
    <xf numFmtId="0" fontId="19" fillId="8" borderId="37" applyAlignment="1" pivotButton="0" quotePrefix="0" xfId="0">
      <alignment horizontal="center"/>
    </xf>
    <xf numFmtId="0" fontId="17" fillId="8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/>
    </xf>
    <xf numFmtId="0" fontId="17" fillId="8" borderId="0" applyAlignment="1" pivotButton="0" quotePrefix="0" xfId="0">
      <alignment vertical="center"/>
    </xf>
    <xf numFmtId="0" fontId="8" fillId="0" borderId="32" applyAlignment="1" pivotButton="0" quotePrefix="0" xfId="4">
      <alignment vertical="center"/>
    </xf>
    <xf numFmtId="0" fontId="8" fillId="0" borderId="0" applyAlignment="1" pivotButton="0" quotePrefix="0" xfId="4">
      <alignment vertical="center"/>
    </xf>
    <xf numFmtId="0" fontId="8" fillId="0" borderId="21" applyAlignment="1" pivotButton="0" quotePrefix="0" xfId="4">
      <alignment vertical="center"/>
    </xf>
    <xf numFmtId="9" fontId="20" fillId="8" borderId="37" applyAlignment="1" pivotButton="0" quotePrefix="0" xfId="6">
      <alignment horizontal="center" vertical="center"/>
    </xf>
    <xf numFmtId="9" fontId="20" fillId="8" borderId="37" applyAlignment="1" pivotButton="0" quotePrefix="0" xfId="6">
      <alignment horizontal="center" vertical="center"/>
    </xf>
    <xf numFmtId="0" fontId="17" fillId="8" borderId="37" applyAlignment="1" pivotButton="0" quotePrefix="0" xfId="0">
      <alignment horizontal="center" vertical="center"/>
    </xf>
    <xf numFmtId="0" fontId="21" fillId="8" borderId="37" applyAlignment="1" pivotButton="0" quotePrefix="0" xfId="0">
      <alignment horizontal="center"/>
    </xf>
    <xf numFmtId="0" fontId="19" fillId="8" borderId="37" applyAlignment="1" pivotButton="0" quotePrefix="0" xfId="0">
      <alignment horizontal="center" vertical="center"/>
    </xf>
    <xf numFmtId="0" fontId="17" fillId="8" borderId="28" applyAlignment="1" pivotButton="0" quotePrefix="0" xfId="0">
      <alignment horizontal="center"/>
    </xf>
    <xf numFmtId="0" fontId="17" fillId="8" borderId="9" applyAlignment="1" pivotButton="0" quotePrefix="0" xfId="0">
      <alignment horizontal="center"/>
    </xf>
    <xf numFmtId="0" fontId="17" fillId="8" borderId="10" applyAlignment="1" pivotButton="0" quotePrefix="0" xfId="0">
      <alignment horizontal="center"/>
    </xf>
    <xf numFmtId="0" fontId="17" fillId="8" borderId="9" applyAlignment="1" pivotButton="0" quotePrefix="0" xfId="0">
      <alignment vertical="center"/>
    </xf>
    <xf numFmtId="0" fontId="17" fillId="8" borderId="10" applyAlignment="1" pivotButton="0" quotePrefix="0" xfId="0">
      <alignment vertical="center"/>
    </xf>
    <xf numFmtId="0" fontId="17" fillId="8" borderId="6" applyAlignment="1" pivotButton="0" quotePrefix="0" xfId="0">
      <alignment vertical="center"/>
    </xf>
    <xf numFmtId="0" fontId="17" fillId="8" borderId="29" applyAlignment="1" pivotButton="0" quotePrefix="0" xfId="0">
      <alignment horizontal="center"/>
    </xf>
    <xf numFmtId="0" fontId="17" fillId="8" borderId="4" applyAlignment="1" pivotButton="0" quotePrefix="0" xfId="0">
      <alignment horizontal="center"/>
    </xf>
    <xf numFmtId="0" fontId="17" fillId="8" borderId="11" applyAlignment="1" pivotButton="0" quotePrefix="0" xfId="0">
      <alignment horizontal="center"/>
    </xf>
    <xf numFmtId="0" fontId="17" fillId="8" borderId="4" applyAlignment="1" pivotButton="0" quotePrefix="0" xfId="0">
      <alignment vertical="center"/>
    </xf>
    <xf numFmtId="0" fontId="17" fillId="8" borderId="11" applyAlignment="1" pivotButton="0" quotePrefix="0" xfId="0">
      <alignment vertical="center"/>
    </xf>
    <xf numFmtId="49" fontId="0" fillId="0" borderId="37" applyAlignment="1" pivotButton="0" quotePrefix="0" xfId="0">
      <alignment vertical="center" wrapText="1"/>
    </xf>
    <xf numFmtId="0" fontId="0" fillId="0" borderId="37" applyAlignment="1" pivotButton="0" quotePrefix="0" xfId="0">
      <alignment vertical="center" wrapText="1"/>
    </xf>
    <xf numFmtId="0" fontId="4" fillId="0" borderId="0" applyAlignment="1" pivotButton="0" quotePrefix="0" xfId="5">
      <alignment horizontal="center" vertical="center" wrapText="1"/>
    </xf>
    <xf numFmtId="49" fontId="15" fillId="0" borderId="37" applyAlignment="1" pivotButton="0" quotePrefix="0" xfId="2">
      <alignment horizontal="left" wrapText="1"/>
    </xf>
    <xf numFmtId="0" fontId="11" fillId="0" borderId="0" applyAlignment="1" pivotButton="0" quotePrefix="0" xfId="1">
      <alignment horizontal="center" vertical="center"/>
    </xf>
    <xf numFmtId="0" fontId="8" fillId="0" borderId="37" applyAlignment="1" pivotButton="0" quotePrefix="0" xfId="4">
      <alignment horizontal="center" vertical="center"/>
    </xf>
    <xf numFmtId="0" fontId="8" fillId="0" borderId="40" applyAlignment="1" pivotButton="0" quotePrefix="0" xfId="4">
      <alignment horizontal="center" vertical="center"/>
    </xf>
    <xf numFmtId="0" fontId="8" fillId="0" borderId="39" applyAlignment="1" pivotButton="0" quotePrefix="0" xfId="4">
      <alignment horizontal="center" vertical="center"/>
    </xf>
    <xf numFmtId="0" fontId="17" fillId="8" borderId="24" applyAlignment="1" pivotButton="0" quotePrefix="0" xfId="0">
      <alignment horizontal="center"/>
    </xf>
    <xf numFmtId="0" fontId="17" fillId="8" borderId="41" applyAlignment="1" pivotButton="0" quotePrefix="0" xfId="0">
      <alignment horizontal="center"/>
    </xf>
    <xf numFmtId="0" fontId="17" fillId="8" borderId="42" applyAlignment="1" pivotButton="0" quotePrefix="0" xfId="0">
      <alignment horizontal="center"/>
    </xf>
    <xf numFmtId="0" fontId="17" fillId="8" borderId="41" applyAlignment="1" pivotButton="0" quotePrefix="0" xfId="0">
      <alignment vertical="center"/>
    </xf>
    <xf numFmtId="0" fontId="17" fillId="8" borderId="42" applyAlignment="1" pivotButton="0" quotePrefix="0" xfId="0">
      <alignment vertical="center"/>
    </xf>
    <xf numFmtId="0" fontId="22" fillId="0" borderId="37" applyAlignment="1" pivotButton="0" quotePrefix="0" xfId="0">
      <alignment horizontal="center" vertical="center" wrapText="1"/>
    </xf>
    <xf numFmtId="14" fontId="0" fillId="0" borderId="37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2" fillId="0" borderId="37" applyAlignment="1" pivotButton="0" quotePrefix="0" xfId="0">
      <alignment horizontal="center" vertical="center"/>
    </xf>
    <xf numFmtId="0" fontId="23" fillId="8" borderId="37" applyAlignment="1" pivotButton="0" quotePrefix="0" xfId="0">
      <alignment horizontal="center" vertical="center"/>
    </xf>
    <xf numFmtId="0" fontId="22" fillId="0" borderId="37" applyAlignment="1" pivotButton="0" quotePrefix="0" xfId="0">
      <alignment vertical="center"/>
    </xf>
    <xf numFmtId="0" fontId="23" fillId="8" borderId="0" applyAlignment="1" pivotButton="0" quotePrefix="0" xfId="0">
      <alignment vertical="center"/>
    </xf>
    <xf numFmtId="0" fontId="23" fillId="8" borderId="37" applyAlignment="1" pivotButton="0" quotePrefix="0" xfId="0">
      <alignment vertical="center"/>
    </xf>
    <xf numFmtId="0" fontId="13" fillId="0" borderId="37" applyAlignment="1" pivotButton="0" quotePrefix="0" xfId="0">
      <alignment horizontal="left" vertical="center" wrapText="1"/>
    </xf>
    <xf numFmtId="0" fontId="4" fillId="0" borderId="37" applyAlignment="1" pivotButton="0" quotePrefix="0" xfId="0">
      <alignment horizontal="center" vertical="center"/>
    </xf>
    <xf numFmtId="0" fontId="24" fillId="0" borderId="37" applyAlignment="1" pivotButton="0" quotePrefix="0" xfId="0">
      <alignment vertical="center" wrapText="1"/>
    </xf>
    <xf numFmtId="0" fontId="23" fillId="8" borderId="37" applyAlignment="1" pivotButton="0" quotePrefix="1" xfId="0">
      <alignment horizontal="center" vertical="center" wrapText="1"/>
    </xf>
    <xf numFmtId="0" fontId="8" fillId="0" borderId="7" applyAlignment="1" pivotButton="0" quotePrefix="0" xfId="4">
      <alignment horizontal="center"/>
    </xf>
    <xf numFmtId="0" fontId="8" fillId="0" borderId="5" applyAlignment="1" pivotButton="0" quotePrefix="0" xfId="4">
      <alignment horizontal="center"/>
    </xf>
    <xf numFmtId="0" fontId="8" fillId="0" borderId="4" applyAlignment="1" pivotButton="0" quotePrefix="0" xfId="4">
      <alignment horizontal="center" vertical="center"/>
    </xf>
    <xf numFmtId="0" fontId="8" fillId="0" borderId="4" applyAlignment="1" pivotButton="0" quotePrefix="0" xfId="4">
      <alignment horizontal="center"/>
    </xf>
    <xf numFmtId="0" fontId="8" fillId="0" borderId="4" applyAlignment="1" pivotButton="0" quotePrefix="0" xfId="4">
      <alignment horizontal="center" vertical="center" wrapText="1"/>
    </xf>
    <xf numFmtId="0" fontId="8" fillId="0" borderId="31" applyAlignment="1" pivotButton="0" quotePrefix="0" xfId="4">
      <alignment horizontal="center" vertical="center"/>
    </xf>
    <xf numFmtId="0" fontId="8" fillId="0" borderId="15" applyAlignment="1" pivotButton="0" quotePrefix="0" xfId="4">
      <alignment horizontal="center" vertical="center"/>
    </xf>
    <xf numFmtId="0" fontId="8" fillId="0" borderId="16" applyAlignment="1" pivotButton="0" quotePrefix="0" xfId="4">
      <alignment horizontal="center" vertical="center"/>
    </xf>
    <xf numFmtId="0" fontId="8" fillId="0" borderId="20" applyAlignment="1" pivotButton="0" quotePrefix="0" xfId="4">
      <alignment horizontal="center" vertical="center"/>
    </xf>
    <xf numFmtId="0" fontId="8" fillId="0" borderId="0" applyAlignment="1" pivotButton="0" quotePrefix="0" xfId="4">
      <alignment horizontal="center" vertical="center"/>
    </xf>
    <xf numFmtId="0" fontId="8" fillId="0" borderId="33" applyAlignment="1" pivotButton="0" quotePrefix="0" xfId="4">
      <alignment horizontal="center" vertical="center"/>
    </xf>
    <xf numFmtId="0" fontId="8" fillId="0" borderId="25" applyAlignment="1" pivotButton="0" quotePrefix="0" xfId="4">
      <alignment horizontal="center" vertical="center"/>
    </xf>
    <xf numFmtId="0" fontId="8" fillId="0" borderId="17" applyAlignment="1" pivotButton="0" quotePrefix="0" xfId="4">
      <alignment horizontal="center" vertical="center"/>
    </xf>
    <xf numFmtId="0" fontId="8" fillId="0" borderId="18" applyAlignment="1" pivotButton="0" quotePrefix="0" xfId="4">
      <alignment horizontal="center" vertical="center"/>
    </xf>
    <xf numFmtId="0" fontId="11" fillId="0" borderId="0" applyAlignment="1" pivotButton="0" quotePrefix="0" xfId="1">
      <alignment horizontal="center"/>
    </xf>
    <xf numFmtId="0" fontId="9" fillId="6" borderId="0" applyAlignment="1" pivotButton="0" quotePrefix="0" xfId="7">
      <alignment horizontal="right" vertical="center"/>
    </xf>
    <xf numFmtId="0" fontId="8" fillId="0" borderId="32" applyAlignment="1" pivotButton="0" quotePrefix="0" xfId="4">
      <alignment horizontal="center" vertical="center"/>
    </xf>
    <xf numFmtId="0" fontId="8" fillId="0" borderId="21" applyAlignment="1" pivotButton="0" quotePrefix="0" xfId="4">
      <alignment horizontal="center" vertical="center"/>
    </xf>
    <xf numFmtId="0" fontId="8" fillId="0" borderId="23" applyAlignment="1" pivotButton="0" quotePrefix="0" xfId="4">
      <alignment horizontal="center" vertical="center"/>
    </xf>
    <xf numFmtId="0" fontId="8" fillId="0" borderId="24" applyAlignment="1" pivotButton="0" quotePrefix="0" xfId="4">
      <alignment horizontal="center" vertical="center"/>
    </xf>
    <xf numFmtId="0" fontId="8" fillId="0" borderId="22" applyAlignment="1" pivotButton="0" quotePrefix="0" xfId="4">
      <alignment horizontal="center" vertical="center"/>
    </xf>
    <xf numFmtId="0" fontId="8" fillId="0" borderId="37" applyAlignment="1" pivotButton="0" quotePrefix="0" xfId="4">
      <alignment horizontal="center" vertical="center"/>
    </xf>
    <xf numFmtId="0" fontId="8" fillId="0" borderId="39" applyAlignment="1" pivotButton="0" quotePrefix="0" xfId="4">
      <alignment horizontal="center" vertical="center"/>
    </xf>
    <xf numFmtId="0" fontId="8" fillId="0" borderId="40" applyAlignment="1" pivotButton="0" quotePrefix="0" xfId="4">
      <alignment horizontal="center" vertical="center"/>
    </xf>
    <xf numFmtId="0" fontId="8" fillId="0" borderId="37" applyAlignment="1" pivotButton="0" quotePrefix="0" xfId="4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0" fillId="0" borderId="0" pivotButton="0" quotePrefix="0" xfId="0"/>
    <xf numFmtId="0" fontId="8" fillId="0" borderId="28" applyAlignment="1" pivotButton="0" quotePrefix="0" xfId="4">
      <alignment horizontal="center" vertical="center"/>
    </xf>
    <xf numFmtId="0" fontId="0" fillId="0" borderId="15" pivotButton="0" quotePrefix="0" xfId="0"/>
    <xf numFmtId="0" fontId="0" fillId="0" borderId="32" pivotButton="0" quotePrefix="0" xfId="0"/>
    <xf numFmtId="0" fontId="8" fillId="0" borderId="9" applyAlignment="1" pivotButton="0" quotePrefix="0" xfId="4">
      <alignment horizontal="center" vertical="center"/>
    </xf>
    <xf numFmtId="0" fontId="8" fillId="0" borderId="44" applyAlignment="1" pivotButton="0" quotePrefix="0" xfId="4">
      <alignment horizontal="center" vertical="center"/>
    </xf>
    <xf numFmtId="0" fontId="0" fillId="0" borderId="16" pivotButton="0" quotePrefix="0" xfId="0"/>
    <xf numFmtId="0" fontId="0" fillId="0" borderId="5" pivotButton="0" quotePrefix="0" xfId="0"/>
    <xf numFmtId="0" fontId="0" fillId="0" borderId="43" pivotButton="0" quotePrefix="0" xfId="0"/>
    <xf numFmtId="0" fontId="0" fillId="0" borderId="29" pivotButton="0" quotePrefix="0" xfId="0"/>
    <xf numFmtId="0" fontId="0" fillId="0" borderId="21" pivotButton="0" quotePrefix="0" xfId="0"/>
    <xf numFmtId="0" fontId="0" fillId="0" borderId="20" pivotButton="0" quotePrefix="0" xfId="0"/>
    <xf numFmtId="0" fontId="0" fillId="0" borderId="33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2" pivotButton="0" quotePrefix="0" xfId="0"/>
    <xf numFmtId="0" fontId="0" fillId="0" borderId="2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41" pivotButton="0" quotePrefix="0" xfId="0"/>
    <xf numFmtId="0" fontId="0" fillId="0" borderId="45" pivotButton="0" quotePrefix="0" xfId="0"/>
    <xf numFmtId="0" fontId="0" fillId="0" borderId="47" pivotButton="0" quotePrefix="0" xfId="0"/>
    <xf numFmtId="0" fontId="8" fillId="0" borderId="52" applyAlignment="1" pivotButton="0" quotePrefix="0" xfId="4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0" fillId="0" borderId="46" pivotButton="0" quotePrefix="0" xfId="0"/>
    <xf numFmtId="0" fontId="0" fillId="0" borderId="48" pivotButton="0" quotePrefix="0" xfId="0"/>
    <xf numFmtId="0" fontId="0" fillId="0" borderId="53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4" pivotButton="0" quotePrefix="0" xfId="0"/>
    <xf numFmtId="9" fontId="16" fillId="8" borderId="37" applyAlignment="1" pivotButton="0" quotePrefix="0" xfId="0">
      <alignment horizontal="center" vertical="center"/>
    </xf>
    <xf numFmtId="9" fontId="5" fillId="0" borderId="37" applyAlignment="1" pivotButton="0" quotePrefix="0" xfId="0">
      <alignment horizontal="center" vertical="center"/>
    </xf>
  </cellXfs>
  <cellStyles count="8">
    <cellStyle name="Normal" xfId="0" builtinId="0"/>
    <cellStyle name="Cabeçalho 1" xfId="1" builtinId="16"/>
    <cellStyle name="Activity" xfId="2"/>
    <cellStyle name="Period Headers" xfId="3"/>
    <cellStyle name="Project Headers" xfId="4"/>
    <cellStyle name="Label" xfId="5"/>
    <cellStyle name="Percent Complete" xfId="6"/>
    <cellStyle name="Period Highlight Control" xfId="7"/>
  </cellStyles>
  <dxfs count="43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9" tint="0.5999633777886288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9" tint="0.5999633777886288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9" tint="0.5999633777886288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9" tint="0.5999633777886288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9" tint="0.5999633777886288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9"/>
  <sheetViews>
    <sheetView showGridLines="0" view="pageBreakPreview" zoomScaleSheetLayoutView="100" workbookViewId="0">
      <selection activeCell="A1" sqref="A1:T2"/>
    </sheetView>
  </sheetViews>
  <sheetFormatPr baseColWidth="8" defaultColWidth="2.75" defaultRowHeight="17"/>
  <cols>
    <col width="2.58203125" customWidth="1" style="159" min="1" max="2"/>
    <col width="35.33203125" customWidth="1" style="2" min="3" max="3"/>
    <col width="6.5" customWidth="1" style="1" min="4" max="4"/>
    <col width="9.25" customWidth="1" style="1" min="5" max="5"/>
    <col width="6.5" customWidth="1" style="1" min="6" max="6"/>
    <col width="8" customWidth="1" style="1" min="7" max="7"/>
    <col width="11.33203125" bestFit="1" customWidth="1" style="6" min="8" max="8"/>
    <col width="8.33203125" customWidth="1" style="1" min="9" max="9"/>
    <col width="8.75" customWidth="1" style="1" min="10" max="10"/>
    <col width="6" customWidth="1" style="1" min="11" max="18"/>
    <col width="6.25" customWidth="1" style="1" min="19" max="26"/>
    <col width="6.25" customWidth="1" style="159" min="27" max="37"/>
  </cols>
  <sheetData>
    <row r="1" ht="26.25" customHeight="1" s="159">
      <c r="A1" s="147" t="inlineStr">
        <is>
          <t>PLANO MIXEIRO</t>
        </is>
      </c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</row>
    <row r="2" ht="15" customHeight="1" s="159"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</row>
    <row r="3" ht="18.75" customHeight="1" s="159">
      <c r="AR3" s="1" t="n"/>
      <c r="AS3" s="1" t="n"/>
      <c r="AT3" s="1" t="n"/>
      <c r="AU3" s="1" t="n"/>
      <c r="AV3" s="1" t="n"/>
    </row>
    <row r="4">
      <c r="D4" s="148" t="inlineStr">
        <is>
          <t xml:space="preserve"> Destaque do período:</t>
        </is>
      </c>
      <c r="G4" s="11" t="n">
        <v>1</v>
      </c>
      <c r="I4" s="7" t="n"/>
      <c r="J4" s="56" t="inlineStr">
        <is>
          <t>Real</t>
        </is>
      </c>
      <c r="L4" s="17" t="n"/>
      <c r="M4" s="57" t="inlineStr">
        <is>
          <t>% Concluído</t>
        </is>
      </c>
      <c r="O4" s="8" t="n"/>
      <c r="P4" s="56" t="inlineStr">
        <is>
          <t>Real (além do plano)</t>
        </is>
      </c>
      <c r="U4" s="14" t="n"/>
      <c r="V4" s="14" t="n"/>
      <c r="AA4" s="9" t="n"/>
      <c r="AB4" s="57" t="inlineStr">
        <is>
          <t>% Concluído (além do plano)</t>
        </is>
      </c>
      <c r="AT4" s="1" t="n"/>
    </row>
    <row r="5" ht="30" customHeight="1" s="159" thickBot="1">
      <c r="C5" s="4" t="n"/>
      <c r="H5" s="4" t="n"/>
      <c r="I5" s="52" t="inlineStr">
        <is>
          <t>14/05/2022 A 21/05/2022</t>
        </is>
      </c>
      <c r="J5" s="52" t="inlineStr">
        <is>
          <t>22/05/2022 A 31/05/2023</t>
        </is>
      </c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inlineStr">
        <is>
          <t>04 a 08</t>
        </is>
      </c>
      <c r="V5" s="41" t="inlineStr">
        <is>
          <t>11 a15</t>
        </is>
      </c>
      <c r="W5" s="41" t="inlineStr">
        <is>
          <t>18 a 22</t>
        </is>
      </c>
      <c r="X5" s="41" t="inlineStr">
        <is>
          <t>25 a 29</t>
        </is>
      </c>
      <c r="Y5" s="15" t="inlineStr">
        <is>
          <t>09 a 13</t>
        </is>
      </c>
      <c r="Z5" s="15" t="inlineStr">
        <is>
          <t>16  a 20</t>
        </is>
      </c>
      <c r="AA5" s="15" t="inlineStr">
        <is>
          <t>23  a 27</t>
        </is>
      </c>
      <c r="AB5" s="15" t="inlineStr">
        <is>
          <t>30  a 03</t>
        </is>
      </c>
      <c r="AC5" s="15" t="inlineStr">
        <is>
          <t>06  a 10</t>
        </is>
      </c>
      <c r="AD5" s="15" t="inlineStr">
        <is>
          <t>13 a 17</t>
        </is>
      </c>
      <c r="AE5" s="15" t="inlineStr">
        <is>
          <t>20  a 24</t>
        </is>
      </c>
      <c r="AF5" s="15" t="inlineStr">
        <is>
          <t>27  a 30</t>
        </is>
      </c>
      <c r="AG5" s="15" t="n"/>
      <c r="AH5" s="15" t="n"/>
      <c r="AI5" s="15" t="n"/>
      <c r="AJ5" s="15" t="n"/>
      <c r="AK5" s="12" t="n"/>
      <c r="AL5" s="12" t="n"/>
      <c r="AM5" s="12" t="n"/>
      <c r="AN5" s="12" t="n"/>
      <c r="AO5" s="12" t="n"/>
      <c r="AP5" s="12" t="n"/>
      <c r="AQ5" s="12" t="n"/>
      <c r="AR5" s="1" t="n"/>
      <c r="AS5" s="1" t="n"/>
      <c r="AT5" s="1" t="n"/>
    </row>
    <row r="6" ht="15" customHeight="1" s="159" thickBot="1">
      <c r="C6" s="136" t="n"/>
      <c r="D6" s="136" t="inlineStr">
        <is>
          <t>PLANO</t>
        </is>
      </c>
      <c r="E6" s="136" t="inlineStr">
        <is>
          <t>PLANO</t>
        </is>
      </c>
      <c r="F6" s="136" t="inlineStr">
        <is>
          <t>REAL</t>
        </is>
      </c>
      <c r="G6" s="136" t="inlineStr">
        <is>
          <t>REAL</t>
        </is>
      </c>
      <c r="H6" s="136" t="n"/>
      <c r="I6" s="160" t="inlineStr">
        <is>
          <t>MARÇO</t>
        </is>
      </c>
      <c r="J6" s="161" t="n"/>
      <c r="K6" s="161" t="n"/>
      <c r="L6" s="162" t="n"/>
      <c r="M6" s="163" t="n"/>
      <c r="N6" s="161" t="n"/>
      <c r="O6" s="161" t="n"/>
      <c r="P6" s="162" t="n"/>
      <c r="Q6" s="163" t="n"/>
      <c r="R6" s="161" t="n"/>
      <c r="S6" s="161" t="n"/>
      <c r="T6" s="162" t="n"/>
      <c r="U6" s="164" t="inlineStr">
        <is>
          <t>JANEIRO</t>
        </is>
      </c>
      <c r="V6" s="161" t="n"/>
      <c r="W6" s="161" t="n"/>
      <c r="X6" s="165" t="n"/>
      <c r="Y6" s="27" t="n"/>
      <c r="Z6" s="27" t="n"/>
      <c r="AA6" s="28" t="n"/>
      <c r="AB6" s="133" t="inlineStr">
        <is>
          <t>ABRIL</t>
        </is>
      </c>
      <c r="AC6" s="166" t="n"/>
      <c r="AD6" s="166" t="n"/>
      <c r="AE6" s="166" t="n"/>
      <c r="AF6" s="166" t="n"/>
      <c r="AG6" s="18" t="n"/>
      <c r="AH6" s="18" t="n"/>
      <c r="AI6" s="18" t="n"/>
      <c r="AJ6" s="19" t="n"/>
      <c r="AK6" s="14" t="n"/>
      <c r="AL6" s="14" t="n"/>
      <c r="AM6" s="14" t="n"/>
      <c r="AN6" s="14" t="n"/>
      <c r="AO6" s="14" t="n"/>
      <c r="AP6" s="14" t="n"/>
      <c r="AQ6" s="14" t="n"/>
      <c r="AR6" s="1" t="n"/>
      <c r="AS6" s="1" t="n"/>
      <c r="AT6" s="1" t="n"/>
    </row>
    <row r="7" ht="12.75" customHeight="1" s="159">
      <c r="C7" s="135" t="inlineStr">
        <is>
          <t>ATIVIDADES</t>
        </is>
      </c>
      <c r="D7" s="136" t="inlineStr">
        <is>
          <t>SEMANAS</t>
        </is>
      </c>
      <c r="E7" s="167" t="n"/>
      <c r="F7" s="167" t="n"/>
      <c r="G7" s="167" t="n"/>
      <c r="H7" s="168" t="n"/>
      <c r="L7" s="169" t="n"/>
      <c r="M7" s="170" t="n"/>
      <c r="P7" s="169" t="n"/>
      <c r="Q7" s="170" t="n"/>
      <c r="T7" s="169" t="n"/>
      <c r="U7" s="170" t="n"/>
      <c r="X7" s="171" t="n"/>
      <c r="Y7" s="29" t="n"/>
      <c r="Z7" s="29" t="n"/>
      <c r="AA7" s="29" t="n"/>
      <c r="AB7" s="29" t="n"/>
      <c r="AC7" s="29" t="n"/>
      <c r="AD7" s="29" t="n"/>
      <c r="AE7" s="29" t="n"/>
      <c r="AF7" s="29" t="n"/>
      <c r="AG7" s="29" t="n"/>
      <c r="AH7" s="29" t="n"/>
      <c r="AI7" s="29" t="n"/>
      <c r="AJ7" s="30" t="n"/>
      <c r="AK7" s="14" t="n"/>
      <c r="AL7" s="14" t="n"/>
      <c r="AM7" s="14" t="n"/>
      <c r="AN7" s="14" t="n"/>
      <c r="AO7" s="14" t="n"/>
      <c r="AP7" s="14" t="n"/>
      <c r="AQ7" s="14" t="n"/>
      <c r="AR7" s="1" t="n"/>
      <c r="AS7" s="1" t="n"/>
      <c r="AT7" s="1" t="n"/>
    </row>
    <row r="8" ht="12.75" customHeight="1" s="159" thickBot="1">
      <c r="C8" s="172" t="n"/>
      <c r="D8" s="135" t="inlineStr">
        <is>
          <t>INÍCIO</t>
        </is>
      </c>
      <c r="E8" s="137" t="inlineStr">
        <is>
          <t>DURAÇÃO</t>
        </is>
      </c>
      <c r="F8" s="135" t="inlineStr">
        <is>
          <t>INÍCIO</t>
        </is>
      </c>
      <c r="G8" s="135" t="inlineStr">
        <is>
          <t>DURAÇÃO</t>
        </is>
      </c>
      <c r="H8" s="135" t="inlineStr">
        <is>
          <t>CONCLUÍDO</t>
        </is>
      </c>
      <c r="I8" s="173" t="n"/>
      <c r="J8" s="173" t="n"/>
      <c r="K8" s="173" t="n"/>
      <c r="L8" s="174" t="n"/>
      <c r="M8" s="175" t="n"/>
      <c r="N8" s="173" t="n"/>
      <c r="O8" s="173" t="n"/>
      <c r="P8" s="174" t="n"/>
      <c r="Q8" s="175" t="n"/>
      <c r="R8" s="173" t="n"/>
      <c r="S8" s="173" t="n"/>
      <c r="T8" s="174" t="n"/>
      <c r="U8" s="176" t="n"/>
      <c r="V8" s="177" t="n"/>
      <c r="W8" s="177" t="n"/>
      <c r="X8" s="178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2" t="n"/>
    </row>
    <row r="9" ht="12.75" customHeight="1" s="159" thickBot="1">
      <c r="C9" s="179" t="n"/>
      <c r="D9" s="179" t="n"/>
      <c r="E9" s="179" t="n"/>
      <c r="F9" s="179" t="n"/>
      <c r="G9" s="179" t="n"/>
      <c r="H9" s="179" t="n"/>
      <c r="I9" s="47" t="n">
        <v>1</v>
      </c>
      <c r="J9" s="33" t="n">
        <v>2</v>
      </c>
      <c r="K9" s="33" t="n">
        <v>3</v>
      </c>
      <c r="L9" s="33" t="n">
        <v>4</v>
      </c>
      <c r="M9" s="33" t="n">
        <v>5</v>
      </c>
      <c r="N9" s="33" t="n">
        <v>6</v>
      </c>
      <c r="O9" s="33" t="n">
        <v>7</v>
      </c>
      <c r="P9" s="33" t="n">
        <v>8</v>
      </c>
      <c r="Q9" s="33" t="n">
        <v>9</v>
      </c>
      <c r="R9" s="33" t="n">
        <v>10</v>
      </c>
      <c r="S9" s="33" t="n">
        <v>11</v>
      </c>
      <c r="T9" s="33" t="n">
        <v>12</v>
      </c>
      <c r="U9" s="23" t="n">
        <v>13</v>
      </c>
      <c r="V9" s="23" t="n">
        <v>14</v>
      </c>
      <c r="W9" s="23" t="n">
        <v>15</v>
      </c>
      <c r="X9" s="42" t="n">
        <v>16</v>
      </c>
      <c r="Y9" s="38" t="n">
        <v>17</v>
      </c>
      <c r="Z9" s="23" t="n">
        <v>18</v>
      </c>
      <c r="AA9" s="23" t="n">
        <v>19</v>
      </c>
      <c r="AB9" s="23" t="n">
        <v>20</v>
      </c>
      <c r="AC9" s="23" t="n">
        <v>21</v>
      </c>
      <c r="AD9" s="23" t="n">
        <v>22</v>
      </c>
      <c r="AE9" s="23" t="n">
        <v>23</v>
      </c>
      <c r="AF9" s="23" t="n">
        <v>24</v>
      </c>
      <c r="AG9" s="23" t="n">
        <v>25</v>
      </c>
      <c r="AH9" s="23" t="n">
        <v>26</v>
      </c>
      <c r="AI9" s="23" t="n">
        <v>27</v>
      </c>
      <c r="AJ9" s="23" t="n">
        <v>28</v>
      </c>
      <c r="AK9" s="13" t="n">
        <v>31</v>
      </c>
      <c r="AL9" s="3" t="n">
        <v>32</v>
      </c>
      <c r="AM9" s="3" t="n">
        <v>33</v>
      </c>
      <c r="AN9" s="3" t="n">
        <v>34</v>
      </c>
      <c r="AO9" s="3" t="n">
        <v>35</v>
      </c>
      <c r="AP9" s="3" t="n">
        <v>36</v>
      </c>
      <c r="AQ9" s="3" t="n">
        <v>37</v>
      </c>
      <c r="AR9" s="3" t="n">
        <v>38</v>
      </c>
      <c r="AS9" s="3" t="n">
        <v>39</v>
      </c>
      <c r="AT9" s="3" t="n">
        <v>40</v>
      </c>
      <c r="AU9" s="3" t="n">
        <v>41</v>
      </c>
      <c r="AV9" s="3" t="n">
        <v>42</v>
      </c>
      <c r="AW9" s="3" t="n">
        <v>43</v>
      </c>
      <c r="AX9" s="3" t="n">
        <v>44</v>
      </c>
      <c r="AY9" s="3" t="n">
        <v>45</v>
      </c>
      <c r="AZ9" s="3" t="n">
        <v>46</v>
      </c>
      <c r="BA9" s="3" t="n">
        <v>47</v>
      </c>
      <c r="BB9" s="3" t="n">
        <v>48</v>
      </c>
      <c r="BC9" s="3" t="n">
        <v>49</v>
      </c>
      <c r="BD9" s="3" t="n">
        <v>50</v>
      </c>
      <c r="BE9" s="3" t="n">
        <v>51</v>
      </c>
      <c r="BF9" s="3" t="n">
        <v>52</v>
      </c>
      <c r="BG9" s="3" t="n">
        <v>53</v>
      </c>
      <c r="BH9" s="3" t="n">
        <v>54</v>
      </c>
      <c r="BI9" s="3" t="n">
        <v>55</v>
      </c>
      <c r="BJ9" s="3" t="n">
        <v>56</v>
      </c>
      <c r="BK9" s="3" t="n">
        <v>57</v>
      </c>
      <c r="BL9" s="3" t="n">
        <v>58</v>
      </c>
      <c r="BM9" s="3" t="n">
        <v>59</v>
      </c>
      <c r="BN9" s="3" t="n">
        <v>60</v>
      </c>
      <c r="BO9" s="1" t="n"/>
    </row>
    <row r="10" ht="19" customHeight="1" s="159">
      <c r="A10" s="37" t="n">
        <v>1</v>
      </c>
      <c r="B10" s="37" t="n"/>
      <c r="C10" s="50" t="inlineStr">
        <is>
          <t>VALIDAR COM O NOUMAN</t>
        </is>
      </c>
      <c r="D10" s="20" t="n">
        <v>1</v>
      </c>
      <c r="E10" s="20" t="n">
        <v>2</v>
      </c>
      <c r="F10" s="20" t="n">
        <v>1</v>
      </c>
      <c r="G10" s="20" t="n"/>
      <c r="H10" s="34">
        <f>G10/E10</f>
        <v/>
      </c>
      <c r="I10" s="40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  <c r="V10" s="24" t="n"/>
      <c r="W10" s="24" t="n"/>
      <c r="X10" s="43" t="n"/>
      <c r="Y10" s="39" t="n"/>
      <c r="Z10" s="24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6" t="n"/>
      <c r="AK10" s="16" t="n"/>
    </row>
    <row r="11" ht="18.75" customHeight="1" s="159">
      <c r="A11" s="37" t="n">
        <v>2</v>
      </c>
      <c r="B11" s="37" t="n"/>
      <c r="C11" s="50" t="inlineStr">
        <is>
          <t>TESTAR A APP ANDROID</t>
        </is>
      </c>
      <c r="D11" s="20" t="n">
        <v>1</v>
      </c>
      <c r="E11" s="20" t="n">
        <v>2</v>
      </c>
      <c r="F11" s="20" t="n">
        <v>1</v>
      </c>
      <c r="G11" s="20" t="n"/>
      <c r="H11" s="34">
        <f>G11/E11</f>
        <v/>
      </c>
      <c r="I11" s="40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44" t="n"/>
      <c r="Y11" s="40" t="n"/>
      <c r="Z11" s="21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22" t="n"/>
      <c r="AK11" s="16" t="n"/>
    </row>
    <row r="12" ht="18.75" customHeight="1" s="159">
      <c r="A12" s="37" t="n">
        <v>3</v>
      </c>
      <c r="B12" s="37" t="n"/>
      <c r="C12" s="51" t="inlineStr">
        <is>
          <t>VALIDAR A APP IOS</t>
        </is>
      </c>
      <c r="D12" s="20" t="n">
        <v>1</v>
      </c>
      <c r="E12" s="20" t="n">
        <v>2</v>
      </c>
      <c r="F12" s="20" t="n">
        <v>1</v>
      </c>
      <c r="G12" s="20" t="n"/>
      <c r="H12" s="34">
        <f>G12/E12</f>
        <v/>
      </c>
      <c r="I12" s="4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44" t="n"/>
      <c r="Y12" s="40" t="n"/>
      <c r="Z12" s="21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22" t="n"/>
      <c r="AK12" s="16" t="n"/>
    </row>
    <row r="13" ht="19" customHeight="1" s="159">
      <c r="A13" s="37" t="n">
        <v>4</v>
      </c>
      <c r="B13" s="37" t="n"/>
      <c r="C13" s="51" t="inlineStr">
        <is>
          <t>LANÇAR A VERSÃO PAGA</t>
        </is>
      </c>
      <c r="D13" s="36" t="n">
        <v>1</v>
      </c>
      <c r="E13" s="36" t="n">
        <v>2</v>
      </c>
      <c r="F13" s="36" t="n">
        <v>0</v>
      </c>
      <c r="G13" s="36" t="n"/>
      <c r="H13" s="34" t="n"/>
      <c r="I13" s="4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44" t="n"/>
      <c r="Y13" s="40" t="n"/>
      <c r="Z13" s="21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22" t="n"/>
      <c r="AK13" s="16" t="n"/>
    </row>
    <row r="14" ht="19" customHeight="1" s="159">
      <c r="A14" s="37" t="n">
        <v>5</v>
      </c>
      <c r="B14" s="37" t="n"/>
      <c r="C14" s="51" t="n"/>
      <c r="D14" s="36" t="n"/>
      <c r="E14" s="36" t="n"/>
      <c r="F14" s="36" t="n"/>
      <c r="G14" s="36" t="n"/>
      <c r="H14" s="34" t="n"/>
      <c r="I14" s="4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44" t="n"/>
      <c r="Y14" s="40" t="n"/>
      <c r="Z14" s="21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22" t="n"/>
      <c r="AK14" s="16" t="n"/>
    </row>
    <row r="15" ht="19" customHeight="1" s="159">
      <c r="A15" s="37" t="n">
        <v>6</v>
      </c>
      <c r="B15" s="37" t="n"/>
      <c r="C15" s="51" t="n"/>
      <c r="D15" s="36" t="n"/>
      <c r="E15" s="36" t="n"/>
      <c r="F15" s="36" t="n"/>
      <c r="G15" s="36" t="n"/>
      <c r="H15" s="34" t="n"/>
      <c r="I15" s="40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44" t="n"/>
      <c r="Y15" s="40" t="n"/>
      <c r="Z15" s="21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22" t="n"/>
      <c r="AK15" s="16" t="n"/>
    </row>
    <row r="16" ht="19" customHeight="1" s="159" thickBot="1">
      <c r="A16" s="37" t="n">
        <v>7</v>
      </c>
      <c r="B16" s="37" t="n"/>
      <c r="C16" s="51" t="n"/>
      <c r="D16" s="36" t="n"/>
      <c r="E16" s="36" t="n"/>
      <c r="F16" s="36" t="n"/>
      <c r="G16" s="36" t="n"/>
      <c r="H16" s="34" t="n"/>
      <c r="I16" s="48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6" t="n"/>
      <c r="Y16" s="40" t="n"/>
      <c r="Z16" s="21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22" t="n"/>
      <c r="AK16" s="16" t="n"/>
    </row>
    <row r="19">
      <c r="N19" s="1">
        <f>119940/6</f>
        <v/>
      </c>
    </row>
  </sheetData>
  <mergeCells count="14">
    <mergeCell ref="D7:H7"/>
    <mergeCell ref="C7:C9"/>
    <mergeCell ref="I6:L8"/>
    <mergeCell ref="E8:E9"/>
    <mergeCell ref="M6:P8"/>
    <mergeCell ref="H8:H9"/>
    <mergeCell ref="F8:F9"/>
    <mergeCell ref="G8:G9"/>
    <mergeCell ref="D4:F4"/>
    <mergeCell ref="AB6:AF6"/>
    <mergeCell ref="Q6:T8"/>
    <mergeCell ref="D8:D9"/>
    <mergeCell ref="U6:X8"/>
    <mergeCell ref="A1:R2"/>
  </mergeCells>
  <conditionalFormatting sqref="I10:BN16">
    <cfRule type="expression" priority="1" dxfId="7">
      <formula>PorcentagemConcluída</formula>
    </cfRule>
    <cfRule type="expression" priority="2" dxfId="6">
      <formula>PorcentagemConcluídaPosterior</formula>
    </cfRule>
    <cfRule type="expression" priority="3" dxfId="5">
      <formula>Real</formula>
    </cfRule>
    <cfRule type="expression" priority="4" dxfId="4">
      <formula>RealPosterior</formula>
    </cfRule>
    <cfRule type="expression" priority="5" dxfId="3">
      <formula>MIXEIRO</formula>
    </cfRule>
    <cfRule type="expression" priority="6" dxfId="2">
      <formula>I$9=periodo_selecionado</formula>
    </cfRule>
    <cfRule type="expression" priority="8" dxfId="1">
      <formula>MOD(COLUMN(),2)</formula>
    </cfRule>
    <cfRule type="expression" priority="9" dxfId="0">
      <formula>MOD(COLUMN(),2)=0</formula>
    </cfRule>
  </conditionalFormatting>
  <conditionalFormatting sqref="I9:BN9">
    <cfRule type="expression" priority="7" dxfId="8">
      <formula>I$9=periodo_selecionado</formula>
    </cfRule>
  </conditionalFormatting>
  <pageMargins left="0.45" right="0.45" top="0.5" bottom="0.5" header="0.3" footer="0.3"/>
  <pageSetup orientation="landscape" paperSize="9" scale="84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W68"/>
  <sheetViews>
    <sheetView showGridLines="0" tabSelected="1" view="pageBreakPreview" zoomScale="81" zoomScaleSheetLayoutView="81" workbookViewId="0">
      <selection activeCell="J5" sqref="J5"/>
    </sheetView>
  </sheetViews>
  <sheetFormatPr baseColWidth="8" defaultColWidth="2.75" defaultRowHeight="17"/>
  <cols>
    <col width="2.58203125" customWidth="1" style="159" min="1" max="1"/>
    <col width="11.5" customWidth="1" style="159" min="2" max="2"/>
    <col width="12.6640625" customWidth="1" style="123" min="3" max="3"/>
    <col width="41" customWidth="1" style="2" min="4" max="4"/>
    <col width="42.1640625" customWidth="1" style="2" min="5" max="5"/>
    <col width="6.5" customWidth="1" style="1" min="6" max="6"/>
    <col width="9.25" customWidth="1" style="1" min="7" max="7"/>
    <col width="6.5" customWidth="1" style="1" min="8" max="8"/>
    <col width="8" customWidth="1" style="1" min="9" max="9"/>
    <col width="11.33203125" bestFit="1" customWidth="1" style="6" min="10" max="10"/>
    <col width="10.75" customWidth="1" style="54" min="11" max="14"/>
    <col width="10.75" customWidth="1" style="53" min="15" max="16"/>
    <col width="10.75" customWidth="1" style="54" min="17" max="20"/>
    <col width="10.75" customWidth="1" style="53" min="21" max="28"/>
    <col width="6.25" customWidth="1" style="1" min="29" max="34"/>
    <col width="6.25" customWidth="1" style="159" min="35" max="45"/>
  </cols>
  <sheetData>
    <row r="1" ht="26.25" customHeight="1" s="159">
      <c r="A1" s="158" t="inlineStr">
        <is>
          <t>PLANO DO PROJECTO - PLATAFORMA ACADÉMICA DE NOTAS</t>
        </is>
      </c>
      <c r="Q1" s="158" t="n"/>
      <c r="R1" s="158" t="n"/>
      <c r="S1" s="158" t="n"/>
      <c r="T1" s="158" t="n"/>
      <c r="U1" s="158" t="n"/>
      <c r="V1" s="158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</row>
    <row r="2" ht="15" customHeight="1" s="159">
      <c r="Q2" s="158" t="n"/>
      <c r="R2" s="158" t="n"/>
      <c r="S2" s="158" t="n"/>
      <c r="T2" s="158" t="n"/>
      <c r="U2" s="158" t="n"/>
      <c r="V2" s="158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35" t="n"/>
    </row>
    <row r="3" ht="18.75" customHeight="1" s="159" thickBot="1">
      <c r="AZ3" s="1" t="n"/>
      <c r="BA3" s="1" t="n"/>
      <c r="BB3" s="1" t="n"/>
      <c r="BC3" s="1" t="n"/>
      <c r="BD3" s="1" t="n"/>
    </row>
    <row r="4" ht="18" customHeight="1" s="159" thickBot="1" thickTop="1">
      <c r="F4" s="148" t="inlineStr">
        <is>
          <t xml:space="preserve"> Destaque do período:</t>
        </is>
      </c>
      <c r="I4" s="11" t="n">
        <v>4</v>
      </c>
      <c r="K4" s="81" t="n"/>
      <c r="L4" s="54" t="inlineStr">
        <is>
          <t>Plano</t>
        </is>
      </c>
      <c r="M4" s="61" t="n"/>
      <c r="N4" s="110" t="inlineStr">
        <is>
          <t>Decorrer</t>
        </is>
      </c>
      <c r="O4" s="60" t="n"/>
      <c r="P4" s="57" t="inlineStr">
        <is>
          <t>% Concluído</t>
        </is>
      </c>
      <c r="Q4" s="81" t="n"/>
      <c r="R4" s="54" t="inlineStr">
        <is>
          <t>Plano</t>
        </is>
      </c>
      <c r="S4" s="61" t="n"/>
      <c r="T4" s="110" t="inlineStr">
        <is>
          <t>Decorrer</t>
        </is>
      </c>
      <c r="U4" s="60" t="n"/>
      <c r="V4" s="57" t="inlineStr">
        <is>
          <t>% Concluído</t>
        </is>
      </c>
      <c r="W4" s="58" t="n"/>
      <c r="X4" s="56" t="inlineStr">
        <is>
          <t>Real (além do plano)</t>
        </is>
      </c>
      <c r="AC4" s="14" t="n"/>
      <c r="AD4" s="14" t="n"/>
      <c r="AI4" s="9" t="n"/>
      <c r="AJ4" s="57" t="inlineStr">
        <is>
          <t>% Concluído (além do plano)</t>
        </is>
      </c>
      <c r="BB4" s="1" t="n"/>
    </row>
    <row r="5" ht="44" customHeight="1" s="159" thickBot="1" thickTop="1">
      <c r="D5" s="4" t="n"/>
      <c r="E5" s="4" t="n"/>
      <c r="J5" s="4" t="n"/>
      <c r="K5" s="67" t="inlineStr">
        <is>
          <t>04/05/2026 A 08/05/2026</t>
        </is>
      </c>
      <c r="L5" s="67" t="inlineStr">
        <is>
          <t>11/05/2026 A 15/05/2026</t>
        </is>
      </c>
      <c r="M5" s="67" t="inlineStr">
        <is>
          <t>18/05/2026 A 22/05/2026</t>
        </is>
      </c>
      <c r="N5" s="67" t="inlineStr">
        <is>
          <t>25/05/2026 A 29/05/2026</t>
        </is>
      </c>
      <c r="O5" s="67" t="inlineStr">
        <is>
          <t>01/06/2026 A 05/06/2026</t>
        </is>
      </c>
      <c r="P5" s="67" t="inlineStr">
        <is>
          <t>08/06/2026 A 12/06/2026</t>
        </is>
      </c>
      <c r="Q5" s="67" t="inlineStr">
        <is>
          <t>04/05/2026 A 08/05/2026</t>
        </is>
      </c>
      <c r="R5" s="67" t="inlineStr">
        <is>
          <t>11/05/2026 A 15/05/2026</t>
        </is>
      </c>
      <c r="S5" s="67" t="inlineStr">
        <is>
          <t>18/05/2026 A 22/05/2026</t>
        </is>
      </c>
      <c r="T5" s="67" t="inlineStr">
        <is>
          <t>25/05/2026 A 29/05/2026</t>
        </is>
      </c>
      <c r="U5" s="67" t="inlineStr">
        <is>
          <t>01/06/2026 A 05/06/2026</t>
        </is>
      </c>
      <c r="V5" s="67" t="inlineStr">
        <is>
          <t>08/06/2026 A 12/06/2026</t>
        </is>
      </c>
      <c r="X5" s="59" t="inlineStr">
        <is>
          <t>01/06/2022 A 06/06/2029</t>
        </is>
      </c>
      <c r="Y5" s="59" t="inlineStr">
        <is>
          <t>01/06/2022 A 06/06/2030</t>
        </is>
      </c>
      <c r="Z5" s="59" t="inlineStr">
        <is>
          <t>01/06/2022 A 06/06/2031</t>
        </is>
      </c>
      <c r="AA5" s="59" t="inlineStr">
        <is>
          <t>01/06/2022 A 06/06/2032</t>
        </is>
      </c>
      <c r="AB5" s="59" t="inlineStr">
        <is>
          <t>01/06/2022 A 06/06/2033</t>
        </is>
      </c>
      <c r="AC5" s="52" t="inlineStr">
        <is>
          <t>01/06/2022 A 06/06/2034</t>
        </is>
      </c>
      <c r="AD5" s="41" t="inlineStr">
        <is>
          <t>11 a15</t>
        </is>
      </c>
      <c r="AE5" s="41" t="inlineStr">
        <is>
          <t>18 a 22</t>
        </is>
      </c>
      <c r="AF5" s="41" t="inlineStr">
        <is>
          <t>25 a 29</t>
        </is>
      </c>
      <c r="AG5" s="15" t="inlineStr">
        <is>
          <t>09 a 13</t>
        </is>
      </c>
      <c r="AH5" s="15" t="inlineStr">
        <is>
          <t>16  a 20</t>
        </is>
      </c>
      <c r="AI5" s="15" t="inlineStr">
        <is>
          <t>23  a 27</t>
        </is>
      </c>
      <c r="AJ5" s="15" t="inlineStr">
        <is>
          <t>30  a 03</t>
        </is>
      </c>
      <c r="AK5" s="15" t="inlineStr">
        <is>
          <t>06  a 10</t>
        </is>
      </c>
      <c r="AL5" s="15" t="inlineStr">
        <is>
          <t>13 a 17</t>
        </is>
      </c>
      <c r="AM5" s="15" t="inlineStr">
        <is>
          <t>20  a 24</t>
        </is>
      </c>
      <c r="AN5" s="15" t="inlineStr">
        <is>
          <t>27  a 30</t>
        </is>
      </c>
      <c r="AO5" s="15" t="n"/>
      <c r="AP5" s="15" t="n"/>
      <c r="AQ5" s="15" t="n"/>
      <c r="AR5" s="15" t="n"/>
      <c r="AS5" s="12" t="n"/>
      <c r="AT5" s="12" t="n"/>
      <c r="AU5" s="12" t="n"/>
      <c r="AV5" s="12" t="n"/>
      <c r="AW5" s="12" t="n"/>
      <c r="AX5" s="12" t="n"/>
      <c r="AY5" s="12" t="n"/>
      <c r="AZ5" s="1" t="n"/>
      <c r="BA5" s="1" t="n"/>
      <c r="BB5" s="1" t="n"/>
    </row>
    <row r="6" ht="15.5" customHeight="1" s="159" thickBot="1" thickTop="1">
      <c r="D6" s="62" t="n"/>
      <c r="E6" s="62" t="n"/>
      <c r="F6" s="154" t="inlineStr">
        <is>
          <t>PLANO</t>
        </is>
      </c>
      <c r="G6" s="154" t="inlineStr">
        <is>
          <t>PLANO</t>
        </is>
      </c>
      <c r="H6" s="154" t="inlineStr">
        <is>
          <t>REAL</t>
        </is>
      </c>
      <c r="I6" s="154" t="inlineStr">
        <is>
          <t>REAL</t>
        </is>
      </c>
      <c r="J6" s="156" t="n"/>
      <c r="K6" s="157" t="inlineStr">
        <is>
          <t>MAIO-JUNHO 2026</t>
        </is>
      </c>
      <c r="L6" s="180" t="n"/>
      <c r="M6" s="180" t="n"/>
      <c r="N6" s="180" t="n"/>
      <c r="O6" s="180" t="n"/>
      <c r="P6" s="181" t="n"/>
      <c r="Q6" s="157" t="inlineStr">
        <is>
          <t>MAIO-JUNHO 2026</t>
        </is>
      </c>
      <c r="R6" s="180" t="n"/>
      <c r="S6" s="180" t="n"/>
      <c r="T6" s="180" t="n"/>
      <c r="U6" s="180" t="n"/>
      <c r="V6" s="181" t="n"/>
      <c r="W6" s="29" t="n"/>
      <c r="X6" s="89" t="n"/>
      <c r="Y6" s="182" t="n"/>
      <c r="Z6" s="161" t="n"/>
      <c r="AA6" s="161" t="n"/>
      <c r="AB6" s="162" t="n"/>
      <c r="AC6" s="164" t="inlineStr">
        <is>
          <t>JANEIRO</t>
        </is>
      </c>
      <c r="AD6" s="161" t="n"/>
      <c r="AE6" s="161" t="n"/>
      <c r="AF6" s="165" t="n"/>
      <c r="AG6" s="27" t="n"/>
      <c r="AH6" s="27" t="n"/>
      <c r="AI6" s="28" t="n"/>
      <c r="AJ6" s="133" t="inlineStr">
        <is>
          <t>ABRIL</t>
        </is>
      </c>
      <c r="AK6" s="166" t="n"/>
      <c r="AL6" s="166" t="n"/>
      <c r="AM6" s="166" t="n"/>
      <c r="AN6" s="166" t="n"/>
      <c r="AO6" s="18" t="n"/>
      <c r="AP6" s="18" t="n"/>
      <c r="AQ6" s="18" t="n"/>
      <c r="AR6" s="19" t="n"/>
      <c r="AS6" s="14" t="n"/>
      <c r="AT6" s="14" t="n"/>
      <c r="AU6" s="14" t="n"/>
      <c r="AV6" s="14" t="n"/>
      <c r="AW6" s="14" t="n"/>
      <c r="AX6" s="14" t="n"/>
      <c r="AY6" s="14" t="n"/>
      <c r="AZ6" s="1" t="n"/>
      <c r="BA6" s="1" t="n"/>
      <c r="BB6" s="1" t="n"/>
    </row>
    <row r="7" ht="12.75" customHeight="1" s="159" thickBot="1" thickTop="1">
      <c r="D7" s="154" t="inlineStr">
        <is>
          <t>GRUPO</t>
        </is>
      </c>
      <c r="E7" s="154" t="n"/>
      <c r="F7" s="154" t="inlineStr">
        <is>
          <t>SEMANAS</t>
        </is>
      </c>
      <c r="G7" s="183" t="n"/>
      <c r="H7" s="183" t="n"/>
      <c r="I7" s="183" t="n"/>
      <c r="J7" s="184" t="n"/>
      <c r="K7" s="185" t="n"/>
      <c r="P7" s="186" t="n"/>
      <c r="Q7" s="185" t="n"/>
      <c r="V7" s="186" t="n"/>
      <c r="W7" s="90" t="n"/>
      <c r="X7" s="91" t="n"/>
      <c r="Y7" s="170" t="n"/>
      <c r="AB7" s="169" t="n"/>
      <c r="AC7" s="170" t="n"/>
      <c r="AF7" s="171" t="n"/>
      <c r="AG7" s="29" t="n"/>
      <c r="AH7" s="29" t="n"/>
      <c r="AI7" s="29" t="n"/>
      <c r="AJ7" s="29" t="n"/>
      <c r="AK7" s="29" t="n"/>
      <c r="AL7" s="29" t="n"/>
      <c r="AM7" s="29" t="n"/>
      <c r="AN7" s="29" t="n"/>
      <c r="AO7" s="29" t="n"/>
      <c r="AP7" s="29" t="n"/>
      <c r="AQ7" s="29" t="n"/>
      <c r="AR7" s="30" t="n"/>
      <c r="AS7" s="14" t="n"/>
      <c r="AT7" s="14" t="n"/>
      <c r="AU7" s="14" t="n"/>
      <c r="AV7" s="14" t="n"/>
      <c r="AW7" s="14" t="n"/>
      <c r="AX7" s="14" t="n"/>
      <c r="AY7" s="14" t="n"/>
      <c r="AZ7" s="1" t="n"/>
      <c r="BA7" s="1" t="n"/>
      <c r="BB7" s="1" t="n"/>
    </row>
    <row r="8" ht="12.75" customHeight="1" s="159" thickBot="1" thickTop="1">
      <c r="D8" s="187" t="n"/>
      <c r="E8" s="154" t="n"/>
      <c r="F8" s="154" t="inlineStr">
        <is>
          <t>INÍCIO</t>
        </is>
      </c>
      <c r="G8" s="157" t="inlineStr">
        <is>
          <t>DURAÇÃO</t>
        </is>
      </c>
      <c r="H8" s="154" t="inlineStr">
        <is>
          <t>INÍCIO</t>
        </is>
      </c>
      <c r="I8" s="154" t="inlineStr">
        <is>
          <t>DURAÇÃO</t>
        </is>
      </c>
      <c r="J8" s="154" t="inlineStr">
        <is>
          <t>CONCLUÍDO</t>
        </is>
      </c>
      <c r="K8" s="188" t="n"/>
      <c r="L8" s="189" t="n"/>
      <c r="M8" s="189" t="n"/>
      <c r="N8" s="189" t="n"/>
      <c r="O8" s="189" t="n"/>
      <c r="P8" s="190" t="n"/>
      <c r="Q8" s="188" t="n"/>
      <c r="R8" s="189" t="n"/>
      <c r="S8" s="189" t="n"/>
      <c r="T8" s="189" t="n"/>
      <c r="U8" s="189" t="n"/>
      <c r="V8" s="190" t="n"/>
      <c r="W8" s="90" t="n"/>
      <c r="X8" s="91" t="n"/>
      <c r="Y8" s="170" t="n"/>
      <c r="AB8" s="169" t="n"/>
      <c r="AC8" s="176" t="n"/>
      <c r="AD8" s="177" t="n"/>
      <c r="AE8" s="177" t="n"/>
      <c r="AF8" s="178" t="n"/>
      <c r="AG8" s="31" t="n"/>
      <c r="AH8" s="31" t="n"/>
      <c r="AI8" s="31" t="n"/>
      <c r="AJ8" s="31" t="n"/>
      <c r="AK8" s="31" t="n"/>
      <c r="AL8" s="31" t="n"/>
      <c r="AM8" s="31" t="n"/>
      <c r="AN8" s="31" t="n"/>
      <c r="AO8" s="31" t="n"/>
      <c r="AP8" s="31" t="n"/>
      <c r="AQ8" s="31" t="n"/>
      <c r="AR8" s="32" t="n"/>
    </row>
    <row r="9" ht="12.75" customHeight="1" s="159" thickBot="1" thickTop="1">
      <c r="D9" s="191" t="n"/>
      <c r="E9" s="155" t="n"/>
      <c r="F9" s="191" t="n"/>
      <c r="G9" s="191" t="n"/>
      <c r="H9" s="191" t="n"/>
      <c r="I9" s="191" t="n"/>
      <c r="J9" s="191" t="n"/>
      <c r="K9" s="69" t="n">
        <v>1</v>
      </c>
      <c r="L9" s="69" t="n">
        <v>2</v>
      </c>
      <c r="M9" s="69" t="n">
        <v>3</v>
      </c>
      <c r="N9" s="69" t="n">
        <v>4</v>
      </c>
      <c r="O9" s="70" t="n">
        <v>5</v>
      </c>
      <c r="P9" s="70" t="n">
        <v>6</v>
      </c>
      <c r="Q9" s="69" t="n">
        <v>1</v>
      </c>
      <c r="R9" s="69" t="n">
        <v>2</v>
      </c>
      <c r="S9" s="69" t="n">
        <v>3</v>
      </c>
      <c r="T9" s="69" t="n">
        <v>4</v>
      </c>
      <c r="U9" s="70" t="n">
        <v>5</v>
      </c>
      <c r="V9" s="70" t="n">
        <v>6</v>
      </c>
      <c r="W9" s="70" t="n">
        <v>7</v>
      </c>
      <c r="X9" s="70" t="n">
        <v>8</v>
      </c>
      <c r="Y9" s="70" t="n">
        <v>9</v>
      </c>
      <c r="Z9" s="70" t="n">
        <v>10</v>
      </c>
      <c r="AA9" s="70" t="n">
        <v>11</v>
      </c>
      <c r="AB9" s="70" t="n">
        <v>12</v>
      </c>
      <c r="AC9" s="38" t="n">
        <v>13</v>
      </c>
      <c r="AD9" s="23" t="n">
        <v>14</v>
      </c>
      <c r="AE9" s="23" t="n">
        <v>15</v>
      </c>
      <c r="AF9" s="42" t="n">
        <v>16</v>
      </c>
      <c r="AG9" s="38" t="n">
        <v>17</v>
      </c>
      <c r="AH9" s="23" t="n">
        <v>18</v>
      </c>
      <c r="AI9" s="23" t="n">
        <v>19</v>
      </c>
      <c r="AJ9" s="23" t="n">
        <v>20</v>
      </c>
      <c r="AK9" s="23" t="n">
        <v>21</v>
      </c>
      <c r="AL9" s="23" t="n">
        <v>22</v>
      </c>
      <c r="AM9" s="23" t="n">
        <v>23</v>
      </c>
      <c r="AN9" s="23" t="n">
        <v>24</v>
      </c>
      <c r="AO9" s="23" t="n">
        <v>25</v>
      </c>
      <c r="AP9" s="23" t="n">
        <v>26</v>
      </c>
      <c r="AQ9" s="23" t="n">
        <v>27</v>
      </c>
      <c r="AR9" s="23" t="n">
        <v>28</v>
      </c>
      <c r="AS9" s="13" t="n">
        <v>31</v>
      </c>
      <c r="AT9" s="3" t="n">
        <v>32</v>
      </c>
      <c r="AU9" s="3" t="n">
        <v>33</v>
      </c>
      <c r="AV9" s="3" t="n">
        <v>34</v>
      </c>
      <c r="AW9" s="3" t="n">
        <v>35</v>
      </c>
      <c r="AX9" s="3" t="n">
        <v>36</v>
      </c>
      <c r="AY9" s="3" t="n">
        <v>37</v>
      </c>
      <c r="AZ9" s="3" t="n">
        <v>38</v>
      </c>
      <c r="BA9" s="3" t="n">
        <v>39</v>
      </c>
      <c r="BB9" s="3" t="n">
        <v>40</v>
      </c>
      <c r="BC9" s="3" t="n">
        <v>41</v>
      </c>
      <c r="BD9" s="3" t="n">
        <v>42</v>
      </c>
      <c r="BE9" s="3" t="n">
        <v>43</v>
      </c>
      <c r="BF9" s="3" t="n">
        <v>44</v>
      </c>
      <c r="BG9" s="3" t="n">
        <v>45</v>
      </c>
      <c r="BH9" s="3" t="n">
        <v>46</v>
      </c>
      <c r="BI9" s="3" t="n">
        <v>47</v>
      </c>
      <c r="BJ9" s="3" t="n">
        <v>48</v>
      </c>
      <c r="BK9" s="3" t="n">
        <v>49</v>
      </c>
      <c r="BL9" s="3" t="n">
        <v>50</v>
      </c>
      <c r="BM9" s="3" t="n">
        <v>51</v>
      </c>
      <c r="BN9" s="3" t="n">
        <v>52</v>
      </c>
      <c r="BO9" s="3" t="n">
        <v>53</v>
      </c>
      <c r="BP9" s="3" t="n">
        <v>54</v>
      </c>
      <c r="BQ9" s="3" t="n">
        <v>55</v>
      </c>
      <c r="BR9" s="3" t="n">
        <v>56</v>
      </c>
      <c r="BS9" s="3" t="n">
        <v>57</v>
      </c>
      <c r="BT9" s="3" t="n">
        <v>58</v>
      </c>
      <c r="BU9" s="3" t="n">
        <v>59</v>
      </c>
      <c r="BV9" s="3" t="n">
        <v>60</v>
      </c>
      <c r="BW9" s="1" t="n"/>
    </row>
    <row r="10" ht="24.75" customFormat="1" customHeight="1" s="88" thickBot="1" thickTop="1">
      <c r="A10" s="94" t="n">
        <v>1</v>
      </c>
      <c r="B10" s="94" t="n"/>
      <c r="C10" s="132" t="inlineStr"/>
      <c r="D10" s="95" t="inlineStr">
        <is>
          <t>GESTÃO E PLANEAMENTO</t>
        </is>
      </c>
      <c r="E10" s="95" t="inlineStr">
        <is>
          <t>Credo Lopes</t>
        </is>
      </c>
      <c r="F10" s="96" t="n">
        <v>1</v>
      </c>
      <c r="G10" s="96" t="n">
        <v>6</v>
      </c>
      <c r="H10" s="96" t="n">
        <v>1</v>
      </c>
      <c r="I10" s="96" t="n">
        <v>4</v>
      </c>
      <c r="J10" s="93">
        <f>IF(G10&gt;0,I10/G10,0)</f>
        <v/>
      </c>
      <c r="K10" s="81" t="n"/>
      <c r="L10" s="81" t="n"/>
      <c r="M10" s="81" t="n"/>
      <c r="N10" s="81" t="n"/>
      <c r="O10" s="94" t="n"/>
      <c r="P10" s="94" t="n"/>
      <c r="Q10" s="81" t="n"/>
      <c r="R10" s="81" t="n"/>
      <c r="S10" s="81" t="n"/>
      <c r="T10" s="81" t="n"/>
      <c r="U10" s="94" t="n"/>
      <c r="V10" s="94" t="n"/>
      <c r="W10" s="94" t="n"/>
      <c r="X10" s="94" t="n"/>
      <c r="Y10" s="94" t="n"/>
      <c r="Z10" s="94" t="n"/>
      <c r="AA10" s="94" t="n"/>
      <c r="AB10" s="94" t="n"/>
      <c r="AC10" s="97" t="n"/>
      <c r="AD10" s="98" t="n"/>
      <c r="AE10" s="98" t="n"/>
      <c r="AF10" s="99" t="n"/>
      <c r="AG10" s="97" t="n"/>
      <c r="AH10" s="98" t="n"/>
      <c r="AI10" s="100" t="n"/>
      <c r="AJ10" s="100" t="n"/>
      <c r="AK10" s="100" t="n"/>
      <c r="AL10" s="100" t="n"/>
      <c r="AM10" s="100" t="n"/>
      <c r="AN10" s="100" t="n"/>
      <c r="AO10" s="100" t="n"/>
      <c r="AP10" s="100" t="n"/>
      <c r="AQ10" s="100" t="n"/>
      <c r="AR10" s="101" t="n"/>
      <c r="AS10" s="102" t="n"/>
    </row>
    <row r="11" ht="18" customFormat="1" customHeight="1" s="88" thickBot="1" thickTop="1">
      <c r="A11" s="64" t="n"/>
      <c r="B11" s="122" t="n"/>
      <c r="C11" s="121" t="n"/>
      <c r="D11" s="129" t="inlineStr">
        <is>
          <t>Levantamento dos requisitos e objectivos do sistema</t>
        </is>
      </c>
      <c r="E11" s="129" t="inlineStr">
        <is>
          <t>Credo + Nathalia; requisitos organizados com agentes IA</t>
        </is>
      </c>
      <c r="F11" s="130" t="n">
        <v>1</v>
      </c>
      <c r="G11" s="130" t="n">
        <v>1</v>
      </c>
      <c r="H11" s="130" t="n">
        <v>1</v>
      </c>
      <c r="I11" s="130" t="n">
        <v>1</v>
      </c>
      <c r="J11" s="66">
        <f>IF(G11&gt;0,I11/G11,0)</f>
        <v/>
      </c>
      <c r="K11" s="81" t="n"/>
      <c r="L11" s="81" t="n"/>
      <c r="M11" s="81" t="n"/>
      <c r="N11" s="81" t="n"/>
      <c r="O11" s="94" t="n"/>
      <c r="P11" s="94" t="n"/>
      <c r="Q11" s="81" t="n"/>
      <c r="R11" s="81" t="n"/>
      <c r="S11" s="81" t="n"/>
      <c r="T11" s="81" t="n"/>
      <c r="U11" s="94" t="n"/>
      <c r="V11" s="94" t="n"/>
      <c r="W11" s="94" t="n"/>
      <c r="X11" s="94" t="n"/>
      <c r="Y11" s="94" t="n"/>
      <c r="Z11" s="94" t="n"/>
      <c r="AA11" s="94" t="n"/>
      <c r="AB11" s="94" t="n"/>
      <c r="AC11" s="116" t="n"/>
      <c r="AD11" s="117" t="n"/>
      <c r="AE11" s="117" t="n"/>
      <c r="AF11" s="118" t="n"/>
      <c r="AG11" s="116" t="n"/>
      <c r="AH11" s="117" t="n"/>
      <c r="AI11" s="119" t="n"/>
      <c r="AJ11" s="119" t="n"/>
      <c r="AK11" s="119" t="n"/>
      <c r="AL11" s="119" t="n"/>
      <c r="AM11" s="119" t="n"/>
      <c r="AN11" s="119" t="n"/>
      <c r="AO11" s="119" t="n"/>
      <c r="AP11" s="119" t="n"/>
      <c r="AQ11" s="119" t="n"/>
      <c r="AR11" s="120" t="n"/>
      <c r="AS11" s="102" t="n"/>
    </row>
    <row r="12" ht="18" customFormat="1" customHeight="1" s="88" thickBot="1" thickTop="1">
      <c r="A12" s="64" t="n"/>
      <c r="B12" s="122" t="n"/>
      <c r="C12" s="121" t="n"/>
      <c r="D12" s="129" t="inlineStr">
        <is>
          <t>Organização do backlog em épicos, stories e prioridades</t>
        </is>
      </c>
      <c r="E12" s="131" t="inlineStr">
        <is>
          <t>Credo; base nos documentos PRD, arquitectura e stories</t>
        </is>
      </c>
      <c r="F12" s="130" t="n">
        <v>1</v>
      </c>
      <c r="G12" s="130" t="n">
        <v>2</v>
      </c>
      <c r="H12" s="130" t="n">
        <v>1</v>
      </c>
      <c r="I12" s="130" t="n">
        <v>2</v>
      </c>
      <c r="J12" s="66">
        <f>IF(G12&gt;0,I12/G12,0)</f>
        <v/>
      </c>
      <c r="K12" s="81" t="n"/>
      <c r="L12" s="81" t="n"/>
      <c r="M12" s="81" t="n"/>
      <c r="N12" s="81" t="n"/>
      <c r="O12" s="94" t="n"/>
      <c r="P12" s="94" t="n"/>
      <c r="Q12" s="81" t="n"/>
      <c r="R12" s="81" t="n"/>
      <c r="S12" s="81" t="n"/>
      <c r="T12" s="81" t="n"/>
      <c r="U12" s="94" t="n"/>
      <c r="V12" s="94" t="n"/>
      <c r="W12" s="94" t="n"/>
      <c r="X12" s="94" t="n"/>
      <c r="Y12" s="94" t="n"/>
      <c r="Z12" s="94" t="n"/>
      <c r="AA12" s="94" t="n"/>
      <c r="AB12" s="94" t="n"/>
      <c r="AC12" s="116" t="n"/>
      <c r="AD12" s="117" t="n"/>
      <c r="AE12" s="117" t="n"/>
      <c r="AF12" s="118" t="n"/>
      <c r="AG12" s="116" t="n"/>
      <c r="AH12" s="117" t="n"/>
      <c r="AI12" s="119" t="n"/>
      <c r="AJ12" s="119" t="n"/>
      <c r="AK12" s="119" t="n"/>
      <c r="AL12" s="119" t="n"/>
      <c r="AM12" s="119" t="n"/>
      <c r="AN12" s="119" t="n"/>
      <c r="AO12" s="119" t="n"/>
      <c r="AP12" s="119" t="n"/>
      <c r="AQ12" s="119" t="n"/>
      <c r="AR12" s="120" t="n"/>
      <c r="AS12" s="102" t="n"/>
    </row>
    <row r="13" ht="18" customFormat="1" customHeight="1" s="88" thickBot="1" thickTop="1">
      <c r="A13" s="64" t="n"/>
      <c r="B13" s="121" t="n"/>
      <c r="C13" s="121" t="n"/>
      <c r="D13" s="129" t="inlineStr">
        <is>
          <t>Definição do plano, riscos e critérios de entrega</t>
        </is>
      </c>
      <c r="E13" s="129" t="inlineStr">
        <is>
          <t>Credo; plano optimista até 12/06/2026</t>
        </is>
      </c>
      <c r="F13" s="130" t="n">
        <v>2</v>
      </c>
      <c r="G13" s="130" t="n">
        <v>1</v>
      </c>
      <c r="H13" s="130" t="n">
        <v>2</v>
      </c>
      <c r="I13" s="130" t="n">
        <v>1</v>
      </c>
      <c r="J13" s="66">
        <f>IF(G13&gt;0,I13/G13,0)</f>
        <v/>
      </c>
      <c r="K13" s="81" t="n"/>
      <c r="L13" s="81" t="n"/>
      <c r="M13" s="81" t="n"/>
      <c r="N13" s="81" t="n"/>
      <c r="O13" s="94" t="n"/>
      <c r="P13" s="94" t="n"/>
      <c r="Q13" s="81" t="n"/>
      <c r="R13" s="81" t="n"/>
      <c r="S13" s="81" t="n"/>
      <c r="T13" s="81" t="n"/>
      <c r="U13" s="94" t="n"/>
      <c r="V13" s="94" t="n"/>
      <c r="W13" s="94" t="n"/>
      <c r="X13" s="94" t="n"/>
      <c r="Y13" s="94" t="n"/>
      <c r="Z13" s="94" t="n"/>
      <c r="AA13" s="94" t="n"/>
      <c r="AB13" s="94" t="n"/>
      <c r="AC13" s="116" t="n"/>
      <c r="AD13" s="117" t="n"/>
      <c r="AE13" s="117" t="n"/>
      <c r="AF13" s="118" t="n"/>
      <c r="AG13" s="116" t="n"/>
      <c r="AH13" s="117" t="n"/>
      <c r="AI13" s="119" t="n"/>
      <c r="AJ13" s="119" t="n"/>
      <c r="AK13" s="119" t="n"/>
      <c r="AL13" s="119" t="n"/>
      <c r="AM13" s="119" t="n"/>
      <c r="AN13" s="119" t="n"/>
      <c r="AO13" s="119" t="n"/>
      <c r="AP13" s="119" t="n"/>
      <c r="AQ13" s="119" t="n"/>
      <c r="AR13" s="120" t="n"/>
      <c r="AS13" s="102" t="n"/>
    </row>
    <row r="14" ht="18" customFormat="1" customHeight="1" s="88" thickBot="1" thickTop="1">
      <c r="A14" s="64" t="n"/>
      <c r="B14" s="64" t="n"/>
      <c r="C14" s="124" t="n"/>
      <c r="D14" s="63" t="inlineStr">
        <is>
          <t>Acompanhamento semanal, revisão de progresso e ajustes</t>
        </is>
      </c>
      <c r="E14" s="63" t="inlineStr">
        <is>
          <t>Credo + todos; checkpoints curtos de execução</t>
        </is>
      </c>
      <c r="F14" s="65" t="n">
        <v>2</v>
      </c>
      <c r="G14" s="65" t="n">
        <v>5</v>
      </c>
      <c r="H14" s="65" t="n">
        <v>2</v>
      </c>
      <c r="I14" s="65" t="n">
        <v>3</v>
      </c>
      <c r="J14" s="66">
        <f>IF(G14&gt;0,I14/G14,0)</f>
        <v/>
      </c>
      <c r="K14" s="81" t="n"/>
      <c r="L14" s="81" t="n"/>
      <c r="M14" s="81" t="n"/>
      <c r="N14" s="81" t="n"/>
      <c r="O14" s="94" t="n"/>
      <c r="P14" s="94" t="n"/>
      <c r="Q14" s="81" t="n"/>
      <c r="R14" s="81" t="n"/>
      <c r="S14" s="81" t="n"/>
      <c r="T14" s="81" t="n"/>
      <c r="U14" s="94" t="n"/>
      <c r="V14" s="94" t="n"/>
      <c r="W14" s="94" t="n"/>
      <c r="X14" s="94" t="n"/>
      <c r="Y14" s="94" t="n"/>
      <c r="Z14" s="94" t="n"/>
      <c r="AA14" s="94" t="n"/>
      <c r="AB14" s="94" t="n"/>
      <c r="AC14" s="116" t="n"/>
      <c r="AD14" s="117" t="n"/>
      <c r="AE14" s="117" t="n"/>
      <c r="AF14" s="118" t="n"/>
      <c r="AG14" s="116" t="n"/>
      <c r="AH14" s="117" t="n"/>
      <c r="AI14" s="119" t="n"/>
      <c r="AJ14" s="119" t="n"/>
      <c r="AK14" s="119" t="n"/>
      <c r="AL14" s="119" t="n"/>
      <c r="AM14" s="119" t="n"/>
      <c r="AN14" s="119" t="n"/>
      <c r="AO14" s="119" t="n"/>
      <c r="AP14" s="119" t="n"/>
      <c r="AQ14" s="119" t="n"/>
      <c r="AR14" s="120" t="n"/>
      <c r="AS14" s="102" t="n"/>
    </row>
    <row r="15" ht="18" customFormat="1" customHeight="1" s="88" thickBot="1" thickTop="1">
      <c r="A15" s="64" t="n"/>
      <c r="B15" s="64" t="n"/>
      <c r="C15" s="124" t="n"/>
      <c r="D15" s="63" t="inlineStr">
        <is>
          <t>Preparação da apresentação e defesa académica</t>
        </is>
      </c>
      <c r="E15" s="63" t="inlineStr">
        <is>
          <t>Credo + todos; demonstração e resumo final</t>
        </is>
      </c>
      <c r="F15" s="65" t="n">
        <v>6</v>
      </c>
      <c r="G15" s="65" t="n">
        <v>1</v>
      </c>
      <c r="H15" s="65" t="n"/>
      <c r="I15" s="65" t="n"/>
      <c r="J15" s="66">
        <f>IF(G15&gt;0,I15/G15,0)</f>
        <v/>
      </c>
      <c r="K15" s="81" t="n"/>
      <c r="L15" s="81" t="n"/>
      <c r="M15" s="81" t="n"/>
      <c r="N15" s="81" t="n"/>
      <c r="O15" s="94" t="n"/>
      <c r="P15" s="94" t="n"/>
      <c r="Q15" s="81" t="n"/>
      <c r="R15" s="81" t="n"/>
      <c r="S15" s="81" t="n"/>
      <c r="T15" s="81" t="n"/>
      <c r="U15" s="94" t="n"/>
      <c r="V15" s="94" t="n"/>
      <c r="W15" s="94" t="n"/>
      <c r="X15" s="94" t="n"/>
      <c r="Y15" s="94" t="n"/>
      <c r="Z15" s="94" t="n"/>
      <c r="AA15" s="94" t="n"/>
      <c r="AB15" s="94" t="n"/>
      <c r="AC15" s="116" t="n"/>
      <c r="AD15" s="117" t="n"/>
      <c r="AE15" s="117" t="n"/>
      <c r="AF15" s="118" t="n"/>
      <c r="AG15" s="116" t="n"/>
      <c r="AH15" s="117" t="n"/>
      <c r="AI15" s="119" t="n"/>
      <c r="AJ15" s="119" t="n"/>
      <c r="AK15" s="119" t="n"/>
      <c r="AL15" s="119" t="n"/>
      <c r="AM15" s="119" t="n"/>
      <c r="AN15" s="119" t="n"/>
      <c r="AO15" s="119" t="n"/>
      <c r="AP15" s="119" t="n"/>
      <c r="AQ15" s="119" t="n"/>
      <c r="AR15" s="120" t="n"/>
      <c r="AS15" s="102" t="n"/>
    </row>
    <row r="16" ht="18" customFormat="1" customHeight="1" s="88" thickBot="1" thickTop="1">
      <c r="A16" s="64" t="n"/>
      <c r="B16" s="64" t="n"/>
      <c r="C16" s="124" t="n"/>
      <c r="D16" s="63" t="inlineStr">
        <is>
          <t>Revisão final da planilha e entrega do projecto</t>
        </is>
      </c>
      <c r="E16" s="63" t="inlineStr">
        <is>
          <t>Credo; consolidação final</t>
        </is>
      </c>
      <c r="F16" s="65" t="n">
        <v>6</v>
      </c>
      <c r="G16" s="65" t="n">
        <v>1</v>
      </c>
      <c r="H16" s="65" t="n"/>
      <c r="I16" s="65" t="n"/>
      <c r="J16" s="66">
        <f>IF(G16&gt;0,I16/G16,0)</f>
        <v/>
      </c>
      <c r="K16" s="81" t="n"/>
      <c r="L16" s="81" t="n"/>
      <c r="M16" s="81" t="n"/>
      <c r="N16" s="81" t="n"/>
      <c r="O16" s="94" t="n"/>
      <c r="P16" s="94" t="n"/>
      <c r="Q16" s="81" t="n"/>
      <c r="R16" s="81" t="n"/>
      <c r="S16" s="81" t="n"/>
      <c r="T16" s="81" t="n"/>
      <c r="U16" s="94" t="n"/>
      <c r="V16" s="94" t="n"/>
      <c r="W16" s="94" t="n"/>
      <c r="X16" s="94" t="n"/>
      <c r="Y16" s="94" t="n"/>
      <c r="Z16" s="94" t="n"/>
      <c r="AA16" s="94" t="n"/>
      <c r="AB16" s="94" t="n"/>
      <c r="AC16" s="116" t="n"/>
      <c r="AD16" s="117" t="n"/>
      <c r="AE16" s="117" t="n"/>
      <c r="AF16" s="118" t="n"/>
      <c r="AG16" s="116" t="n"/>
      <c r="AH16" s="117" t="n"/>
      <c r="AI16" s="119" t="n"/>
      <c r="AJ16" s="119" t="n"/>
      <c r="AK16" s="119" t="n"/>
      <c r="AL16" s="119" t="n"/>
      <c r="AM16" s="119" t="n"/>
      <c r="AN16" s="119" t="n"/>
      <c r="AO16" s="119" t="n"/>
      <c r="AP16" s="119" t="n"/>
      <c r="AQ16" s="119" t="n"/>
      <c r="AR16" s="120" t="n"/>
      <c r="AS16" s="102" t="n"/>
    </row>
    <row r="17" ht="18" customHeight="1" s="159" thickBot="1" thickTop="1">
      <c r="A17" s="64" t="n"/>
      <c r="B17" s="64" t="n"/>
      <c r="C17" s="124" t="n"/>
      <c r="D17" s="63" t="n"/>
      <c r="E17" s="63" t="n"/>
      <c r="F17" s="65" t="n"/>
      <c r="G17" s="65" t="n"/>
      <c r="H17" s="65" t="n"/>
      <c r="I17" s="65" t="n"/>
      <c r="J17" s="66" t="n"/>
      <c r="K17" s="67" t="n"/>
      <c r="L17" s="67" t="n"/>
      <c r="M17" s="67" t="n"/>
      <c r="N17" s="67" t="n"/>
      <c r="O17" s="64" t="n"/>
      <c r="P17" s="64" t="n"/>
      <c r="Q17" s="67" t="n"/>
      <c r="R17" s="67" t="n"/>
      <c r="S17" s="67" t="n"/>
      <c r="T17" s="67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40" t="n"/>
      <c r="AD17" s="21" t="n"/>
      <c r="AE17" s="21" t="n"/>
      <c r="AF17" s="44" t="n"/>
      <c r="AG17" s="40" t="n"/>
      <c r="AH17" s="21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22" t="n"/>
      <c r="AS17" s="16" t="n"/>
    </row>
    <row r="18" ht="18.75" customFormat="1" customHeight="1" s="88" thickBot="1" thickTop="1">
      <c r="A18" s="94" t="n">
        <v>2</v>
      </c>
      <c r="B18" s="94" t="n"/>
      <c r="C18" s="125" t="n"/>
      <c r="D18" s="94" t="inlineStr">
        <is>
          <t>UX/UI E PROTÓTIPO</t>
        </is>
      </c>
      <c r="E18" s="94" t="inlineStr">
        <is>
          <t>Nathalia Garcia + Djenabu Kaba</t>
        </is>
      </c>
      <c r="F18" s="85" t="n">
        <v>2</v>
      </c>
      <c r="G18" s="85" t="n">
        <v>4</v>
      </c>
      <c r="H18" s="85" t="n">
        <v>2</v>
      </c>
      <c r="I18" s="85" t="n">
        <v>2</v>
      </c>
      <c r="J18" s="93">
        <f>IF(G18&gt;0,I18/G18,0)</f>
        <v/>
      </c>
      <c r="K18" s="81" t="n"/>
      <c r="L18" s="81" t="n"/>
      <c r="M18" s="81" t="n"/>
      <c r="N18" s="81" t="n"/>
      <c r="O18" s="94" t="n"/>
      <c r="P18" s="94" t="n"/>
      <c r="Q18" s="81" t="n"/>
      <c r="R18" s="81" t="n"/>
      <c r="S18" s="81" t="n"/>
      <c r="T18" s="81" t="n"/>
      <c r="U18" s="94" t="n"/>
      <c r="V18" s="94" t="n"/>
      <c r="W18" s="94" t="n"/>
      <c r="X18" s="94" t="n"/>
      <c r="Y18" s="94" t="n"/>
      <c r="Z18" s="94" t="n"/>
      <c r="AA18" s="94" t="n"/>
      <c r="AB18" s="94" t="n"/>
      <c r="AC18" s="103" t="n"/>
      <c r="AD18" s="104" t="n"/>
      <c r="AE18" s="104" t="n"/>
      <c r="AF18" s="105" t="n"/>
      <c r="AG18" s="103" t="n"/>
      <c r="AH18" s="104" t="n"/>
      <c r="AI18" s="106" t="n"/>
      <c r="AJ18" s="106" t="n"/>
      <c r="AK18" s="106" t="n"/>
      <c r="AL18" s="106" t="n"/>
      <c r="AM18" s="106" t="n"/>
      <c r="AN18" s="106" t="n"/>
      <c r="AO18" s="106" t="n"/>
      <c r="AP18" s="106" t="n"/>
      <c r="AQ18" s="106" t="n"/>
      <c r="AR18" s="107" t="n"/>
      <c r="AS18" s="102" t="n"/>
    </row>
    <row r="19" ht="18" customHeight="1" s="159" thickBot="1" thickTop="1">
      <c r="A19" s="73" t="n"/>
      <c r="B19" s="73" t="n"/>
      <c r="C19" s="126" t="n"/>
      <c r="D19" s="74" t="inlineStr">
        <is>
          <t>Mapeamento dos fluxos: professor, delegado e estudante</t>
        </is>
      </c>
      <c r="E19" s="74" t="inlineStr">
        <is>
          <t>Nathalia + Credo; jornadas principais</t>
        </is>
      </c>
      <c r="F19" s="68" t="n">
        <v>2</v>
      </c>
      <c r="G19" s="65" t="n">
        <v>1</v>
      </c>
      <c r="H19" s="75" t="n">
        <v>2</v>
      </c>
      <c r="I19" s="75" t="n">
        <v>1</v>
      </c>
      <c r="J19" s="66">
        <f>IF(G19&gt;0,I19/G19,0)</f>
        <v/>
      </c>
      <c r="K19" s="67" t="n"/>
      <c r="L19" s="67" t="n"/>
      <c r="M19" s="67" t="n"/>
      <c r="N19" s="67" t="n"/>
      <c r="O19" s="64" t="n"/>
      <c r="P19" s="64" t="n"/>
      <c r="Q19" s="67" t="n"/>
      <c r="R19" s="67" t="n"/>
      <c r="S19" s="67" t="n"/>
      <c r="T19" s="67" t="n"/>
      <c r="U19" s="64" t="n"/>
      <c r="V19" s="64" t="n"/>
    </row>
    <row r="20" ht="18" customHeight="1" s="159" thickBot="1" thickTop="1">
      <c r="A20" s="73" t="n"/>
      <c r="B20" s="73" t="n"/>
      <c r="C20" s="126" t="n"/>
      <c r="D20" s="111" t="inlineStr">
        <is>
          <t>Wireframes do painel do professor e gestão de notas</t>
        </is>
      </c>
      <c r="E20" s="111" t="inlineStr">
        <is>
          <t>Nathalia; upload, match, publicação e validação</t>
        </is>
      </c>
      <c r="F20" s="68" t="n">
        <v>3</v>
      </c>
      <c r="G20" s="65" t="n">
        <v>1</v>
      </c>
      <c r="H20" s="75" t="n">
        <v>3</v>
      </c>
      <c r="I20" s="75" t="n">
        <v>1</v>
      </c>
      <c r="J20" s="66">
        <f>IF(G20&gt;0,I20/G20,0)</f>
        <v/>
      </c>
      <c r="K20" s="67" t="n"/>
      <c r="L20" s="67" t="n"/>
      <c r="M20" s="67" t="n"/>
      <c r="N20" s="67" t="n"/>
      <c r="O20" s="64" t="n"/>
      <c r="P20" s="64" t="n"/>
      <c r="Q20" s="67" t="n"/>
      <c r="R20" s="67" t="n"/>
      <c r="S20" s="67" t="n"/>
      <c r="T20" s="67" t="n"/>
      <c r="U20" s="64" t="n"/>
      <c r="V20" s="64" t="n"/>
    </row>
    <row r="21" ht="18" customHeight="1" s="159" thickBot="1" thickTop="1">
      <c r="A21" s="73" t="n"/>
      <c r="B21" s="73" t="n"/>
      <c r="C21" s="126" t="n"/>
      <c r="D21" s="74" t="inlineStr">
        <is>
          <t>Wireframes do portal do estudante e calendário académico</t>
        </is>
      </c>
      <c r="E21" s="74" t="inlineStr">
        <is>
          <t>Nathalia; leitura de dados publicados</t>
        </is>
      </c>
      <c r="F21" s="68" t="n">
        <v>3</v>
      </c>
      <c r="G21" s="65" t="n">
        <v>1</v>
      </c>
      <c r="H21" s="75" t="n">
        <v>3</v>
      </c>
      <c r="I21" s="75" t="n">
        <v>0.5</v>
      </c>
      <c r="J21" s="66">
        <f>IF(G21&gt;0,I21/G21,0)</f>
        <v/>
      </c>
      <c r="K21" s="67" t="n"/>
      <c r="L21" s="67" t="n"/>
      <c r="M21" s="67" t="n"/>
      <c r="N21" s="67" t="n"/>
      <c r="O21" s="64" t="n"/>
      <c r="P21" s="64" t="n"/>
      <c r="Q21" s="67" t="n"/>
      <c r="R21" s="67" t="n"/>
      <c r="S21" s="67" t="n"/>
      <c r="T21" s="67" t="n"/>
      <c r="U21" s="64" t="n"/>
      <c r="V21" s="64" t="n"/>
    </row>
    <row r="22" ht="18" customHeight="1" s="159" thickBot="1" thickTop="1">
      <c r="A22" s="73" t="n"/>
      <c r="B22" s="73" t="n"/>
      <c r="C22" s="126" t="n"/>
      <c r="D22" s="76" t="inlineStr">
        <is>
          <t>Design system básico: cores, botões e formulários</t>
        </is>
      </c>
      <c r="E22" s="76" t="inlineStr">
        <is>
          <t>Nathalia; padrões visuais simples</t>
        </is>
      </c>
      <c r="F22" s="68" t="n">
        <v>4</v>
      </c>
      <c r="G22" s="65" t="n">
        <v>1</v>
      </c>
      <c r="H22" s="75" t="n">
        <v>4</v>
      </c>
      <c r="I22" s="75" t="n">
        <v>0.5</v>
      </c>
      <c r="J22" s="66">
        <f>IF(G22&gt;0,I22/G22,0)</f>
        <v/>
      </c>
      <c r="K22" s="67" t="n"/>
      <c r="L22" s="67" t="n"/>
      <c r="M22" s="67" t="n"/>
      <c r="N22" s="67" t="n"/>
      <c r="O22" s="64" t="n"/>
      <c r="P22" s="64" t="n"/>
      <c r="Q22" s="67" t="n"/>
      <c r="R22" s="67" t="n"/>
      <c r="S22" s="67" t="n"/>
      <c r="T22" s="67" t="n"/>
      <c r="U22" s="64" t="n"/>
      <c r="V22" s="64" t="n"/>
    </row>
    <row r="23" ht="18" customHeight="1" s="159" thickBot="1" thickTop="1">
      <c r="A23" s="73" t="n"/>
      <c r="B23" s="73" t="n"/>
      <c r="C23" s="126" t="n"/>
      <c r="D23" s="74" t="inlineStr">
        <is>
          <t>Acessibilidade e adaptação mobile das telas principais</t>
        </is>
      </c>
      <c r="E23" s="74" t="inlineStr">
        <is>
          <t>Nathalia + Djenabu; contraste, labels e foco</t>
        </is>
      </c>
      <c r="F23" s="68" t="n">
        <v>5</v>
      </c>
      <c r="G23" s="65" t="n">
        <v>1</v>
      </c>
      <c r="H23" s="75" t="n"/>
      <c r="I23" s="75" t="n"/>
      <c r="J23" s="66">
        <f>IF(G23&gt;0,I23/G23,0)</f>
        <v/>
      </c>
      <c r="K23" s="67" t="n"/>
      <c r="L23" s="67" t="n"/>
      <c r="M23" s="67" t="n"/>
      <c r="N23" s="67" t="n"/>
      <c r="O23" s="64" t="n"/>
      <c r="P23" s="64" t="n"/>
      <c r="Q23" s="67" t="n"/>
      <c r="R23" s="67" t="n"/>
      <c r="S23" s="67" t="n"/>
      <c r="T23" s="67" t="n"/>
      <c r="U23" s="64" t="n"/>
      <c r="V23" s="64" t="n"/>
    </row>
    <row r="24" ht="18" customHeight="1" s="159" thickBot="1" thickTop="1">
      <c r="A24" s="73" t="n"/>
      <c r="B24" s="73" t="n"/>
      <c r="C24" s="126" t="n"/>
      <c r="D24" s="74" t="inlineStr">
        <is>
          <t>Protótipo final das telas essenciais</t>
        </is>
      </c>
      <c r="E24" s="74" t="inlineStr">
        <is>
          <t>Nathalia; versão enxuta para demonstração</t>
        </is>
      </c>
      <c r="F24" s="68" t="n">
        <v>5</v>
      </c>
      <c r="G24" s="65" t="n">
        <v>1</v>
      </c>
      <c r="H24" s="75" t="n"/>
      <c r="I24" s="75" t="n"/>
      <c r="J24" s="66">
        <f>IF(G24&gt;0,I24/G24,0)</f>
        <v/>
      </c>
      <c r="K24" s="67" t="n"/>
      <c r="L24" s="67" t="n"/>
      <c r="M24" s="67" t="n"/>
      <c r="N24" s="67" t="n"/>
      <c r="O24" s="64" t="n"/>
      <c r="P24" s="64" t="n"/>
      <c r="Q24" s="67" t="n"/>
      <c r="R24" s="67" t="n"/>
      <c r="S24" s="67" t="n"/>
      <c r="T24" s="67" t="n"/>
      <c r="U24" s="64" t="n"/>
      <c r="V24" s="64" t="n"/>
    </row>
    <row r="25" ht="18" customHeight="1" s="159" thickBot="1" thickTop="1">
      <c r="A25" s="73" t="n"/>
      <c r="B25" s="73" t="n"/>
      <c r="C25" s="126" t="n"/>
      <c r="D25" s="74" t="inlineStr">
        <is>
          <t>Revisão visual final após integração</t>
        </is>
      </c>
      <c r="E25" s="74" t="inlineStr">
        <is>
          <t>Nathalia + Djenabu; polimento final</t>
        </is>
      </c>
      <c r="F25" s="68" t="n">
        <v>6</v>
      </c>
      <c r="G25" s="65" t="n">
        <v>1</v>
      </c>
      <c r="H25" s="75" t="n"/>
      <c r="I25" s="75" t="n"/>
      <c r="J25" s="66">
        <f>IF(G25&gt;0,I25/G25,0)</f>
        <v/>
      </c>
      <c r="K25" s="67" t="n"/>
      <c r="L25" s="67" t="n"/>
      <c r="M25" s="67" t="n"/>
      <c r="N25" s="67" t="n"/>
      <c r="O25" s="64" t="n"/>
      <c r="P25" s="64" t="n"/>
      <c r="Q25" s="67" t="n"/>
      <c r="R25" s="67" t="n"/>
      <c r="S25" s="67" t="n"/>
      <c r="T25" s="67" t="n"/>
      <c r="U25" s="64" t="n"/>
      <c r="V25" s="64" t="n"/>
    </row>
    <row r="26" ht="18" customHeight="1" s="159" thickBot="1" thickTop="1">
      <c r="A26" s="73" t="n"/>
      <c r="B26" s="73" t="n"/>
      <c r="C26" s="126" t="n"/>
      <c r="D26" s="74" t="n"/>
      <c r="E26" s="74" t="n"/>
      <c r="F26" s="68" t="n"/>
      <c r="G26" s="65" t="n"/>
      <c r="H26" s="75" t="n"/>
      <c r="I26" s="75" t="n"/>
      <c r="J26" s="66" t="n"/>
      <c r="K26" s="67" t="n"/>
      <c r="L26" s="67" t="n"/>
      <c r="M26" s="67" t="n"/>
      <c r="N26" s="67" t="n"/>
      <c r="O26" s="64" t="n"/>
      <c r="P26" s="64" t="n"/>
      <c r="Q26" s="67" t="n"/>
      <c r="R26" s="67" t="n"/>
      <c r="S26" s="67" t="n"/>
      <c r="T26" s="67" t="n"/>
      <c r="U26" s="64" t="n"/>
      <c r="V26" s="64" t="n"/>
    </row>
    <row r="27" ht="18" customHeight="1" s="159" thickBot="1" thickTop="1">
      <c r="A27" s="73" t="n"/>
      <c r="B27" s="73" t="n"/>
      <c r="C27" s="126" t="n"/>
      <c r="D27" s="74" t="n"/>
      <c r="E27" s="74" t="n"/>
      <c r="F27" s="68" t="n"/>
      <c r="G27" s="65" t="n"/>
      <c r="H27" s="75" t="n"/>
      <c r="I27" s="75" t="n"/>
      <c r="J27" s="66" t="n"/>
      <c r="K27" s="67" t="n"/>
      <c r="L27" s="67" t="n"/>
      <c r="M27" s="67" t="n"/>
      <c r="N27" s="67" t="n"/>
      <c r="O27" s="64" t="n"/>
      <c r="P27" s="64" t="n"/>
      <c r="Q27" s="67" t="n"/>
      <c r="R27" s="67" t="n"/>
      <c r="S27" s="67" t="n"/>
      <c r="T27" s="67" t="n"/>
      <c r="U27" s="64" t="n"/>
      <c r="V27" s="64" t="n"/>
    </row>
    <row r="28" ht="18" customHeight="1" s="159" thickBot="1" thickTop="1">
      <c r="A28" s="73" t="n"/>
      <c r="B28" s="73" t="n"/>
      <c r="C28" s="126" t="n"/>
      <c r="D28" s="74" t="n"/>
      <c r="E28" s="74" t="n"/>
      <c r="F28" s="68" t="n"/>
      <c r="G28" s="65" t="n"/>
      <c r="H28" s="75" t="n"/>
      <c r="I28" s="75" t="n"/>
      <c r="J28" s="66" t="n"/>
      <c r="K28" s="67" t="n"/>
      <c r="L28" s="67" t="n"/>
      <c r="M28" s="67" t="n"/>
      <c r="N28" s="67" t="n"/>
      <c r="O28" s="64" t="n"/>
      <c r="P28" s="64" t="n"/>
      <c r="Q28" s="67" t="n"/>
      <c r="R28" s="67" t="n"/>
      <c r="S28" s="67" t="n"/>
      <c r="T28" s="67" t="n"/>
      <c r="U28" s="64" t="n"/>
      <c r="V28" s="64" t="n"/>
    </row>
    <row r="29" ht="18" customHeight="1" s="159" thickBot="1" thickTop="1">
      <c r="A29" s="73" t="n"/>
      <c r="B29" s="73" t="n"/>
      <c r="C29" s="126" t="n"/>
      <c r="D29" s="74" t="n"/>
      <c r="E29" s="74" t="n"/>
      <c r="F29" s="68" t="n"/>
      <c r="G29" s="65" t="n"/>
      <c r="H29" s="75" t="n"/>
      <c r="I29" s="75" t="n"/>
      <c r="J29" s="66" t="n"/>
      <c r="K29" s="67" t="n"/>
      <c r="L29" s="67" t="n"/>
      <c r="M29" s="67" t="n"/>
      <c r="N29" s="67" t="n"/>
      <c r="O29" s="64" t="n"/>
      <c r="P29" s="64" t="n"/>
      <c r="Q29" s="67" t="n"/>
      <c r="R29" s="67" t="n"/>
      <c r="S29" s="67" t="n"/>
      <c r="T29" s="67" t="n"/>
      <c r="U29" s="64" t="n"/>
      <c r="V29" s="64" t="n"/>
    </row>
    <row r="30" ht="18" customFormat="1" customHeight="1" s="88" thickBot="1" thickTop="1">
      <c r="A30" s="78" t="n">
        <v>3</v>
      </c>
      <c r="B30" s="78" t="n"/>
      <c r="C30" s="127" t="n"/>
      <c r="D30" s="86" t="inlineStr">
        <is>
          <t>QUALIDADE E TESTES</t>
        </is>
      </c>
      <c r="E30" s="86" t="inlineStr">
        <is>
          <t>Toda a equipa</t>
        </is>
      </c>
      <c r="F30" s="84" t="n">
        <v>1</v>
      </c>
      <c r="G30" s="85" t="n">
        <v>6</v>
      </c>
      <c r="H30" s="80" t="n">
        <v>1</v>
      </c>
      <c r="I30" s="80" t="n">
        <v>4</v>
      </c>
      <c r="J30" s="77">
        <f>IF(G30&gt;0,I30/G30,0)</f>
        <v/>
      </c>
      <c r="K30" s="67" t="n"/>
      <c r="L30" s="67" t="n"/>
      <c r="M30" s="67" t="n"/>
      <c r="N30" s="67" t="n"/>
      <c r="O30" s="64" t="n"/>
      <c r="P30" s="64" t="n"/>
      <c r="Q30" s="67" t="n"/>
      <c r="R30" s="67" t="n"/>
      <c r="S30" s="67" t="n"/>
      <c r="T30" s="67" t="n"/>
      <c r="U30" s="64" t="n"/>
      <c r="V30" s="64" t="n"/>
      <c r="W30" s="86" t="n"/>
      <c r="X30" s="86" t="n"/>
      <c r="Y30" s="86" t="n"/>
      <c r="Z30" s="86" t="n"/>
      <c r="AA30" s="86" t="n"/>
      <c r="AB30" s="86" t="n"/>
      <c r="AC30" s="87" t="n"/>
      <c r="AD30" s="87" t="n"/>
      <c r="AE30" s="87" t="n"/>
      <c r="AF30" s="87" t="n"/>
      <c r="AG30" s="87" t="n"/>
      <c r="AH30" s="87" t="n"/>
    </row>
    <row r="31" ht="18" customHeight="1" s="159" thickBot="1" thickTop="1">
      <c r="A31" s="73" t="n"/>
      <c r="B31" s="73" t="n"/>
      <c r="C31" s="126" t="n"/>
      <c r="D31" s="108" t="inlineStr">
        <is>
          <t>Baseline de qualidade: test, lint, typecheck e quality</t>
        </is>
      </c>
      <c r="E31" s="108" t="inlineStr">
        <is>
          <t>Story 2.1; scripts de validação</t>
        </is>
      </c>
      <c r="F31" s="68" t="n">
        <v>1</v>
      </c>
      <c r="G31" s="65" t="n">
        <v>1</v>
      </c>
      <c r="H31" s="75" t="n">
        <v>1</v>
      </c>
      <c r="I31" s="75" t="n">
        <v>1</v>
      </c>
      <c r="J31" s="66">
        <f>IF(G31&gt;0,I31/G31,0)</f>
        <v/>
      </c>
      <c r="K31" s="67" t="n"/>
      <c r="L31" s="67" t="n"/>
      <c r="M31" s="67" t="n"/>
      <c r="N31" s="67" t="n"/>
      <c r="O31" s="64" t="n"/>
      <c r="P31" s="64" t="n"/>
      <c r="Q31" s="67" t="n"/>
      <c r="R31" s="67" t="n"/>
      <c r="S31" s="67" t="n"/>
      <c r="T31" s="67" t="n"/>
      <c r="U31" s="64" t="n"/>
      <c r="V31" s="64" t="n"/>
    </row>
    <row r="32" ht="18" customHeight="1" s="159" thickBot="1" thickTop="1">
      <c r="A32" s="73" t="n"/>
      <c r="B32" s="73" t="n"/>
      <c r="C32" s="126" t="n"/>
      <c r="D32" s="108" t="inlineStr">
        <is>
          <t>Testes do fluxo crítico upload -&gt; match -&gt; envio</t>
        </is>
      </c>
      <c r="E32" s="108" t="inlineStr">
        <is>
          <t>Eunice + Magno; mocks para API externa</t>
        </is>
      </c>
      <c r="F32" s="68" t="n">
        <v>2</v>
      </c>
      <c r="G32" s="65" t="n">
        <v>2</v>
      </c>
      <c r="H32" s="75" t="n">
        <v>2</v>
      </c>
      <c r="I32" s="75" t="n">
        <v>2</v>
      </c>
      <c r="J32" s="66">
        <f>IF(G32&gt;0,I32/G32,0)</f>
        <v/>
      </c>
      <c r="K32" s="67" t="n"/>
      <c r="L32" s="67" t="n"/>
      <c r="M32" s="67" t="n"/>
      <c r="N32" s="67" t="n"/>
      <c r="O32" s="64" t="n"/>
      <c r="P32" s="64" t="n"/>
      <c r="Q32" s="67" t="n"/>
      <c r="R32" s="67" t="n"/>
      <c r="S32" s="67" t="n"/>
      <c r="T32" s="67" t="n"/>
      <c r="U32" s="64" t="n"/>
      <c r="V32" s="64" t="n"/>
    </row>
    <row r="33" ht="18" customHeight="1" s="159" thickBot="1" thickTop="1">
      <c r="A33" s="73" t="n"/>
      <c r="B33" s="73" t="n"/>
      <c r="C33" s="126" t="n"/>
      <c r="D33" s="108" t="inlineStr">
        <is>
          <t>Testes de erros: CSV inválido, dados vazios e falhas</t>
        </is>
      </c>
      <c r="E33" s="108" t="inlineStr">
        <is>
          <t>Eunice + Magno; cenários negativos</t>
        </is>
      </c>
      <c r="F33" s="68" t="n">
        <v>4</v>
      </c>
      <c r="G33" s="65" t="n">
        <v>1</v>
      </c>
      <c r="H33" s="75" t="n">
        <v>4</v>
      </c>
      <c r="I33" s="75" t="n">
        <v>0.5</v>
      </c>
      <c r="J33" s="66">
        <f>IF(G33&gt;0,I33/G33,0)</f>
        <v/>
      </c>
      <c r="K33" s="67" t="n"/>
      <c r="L33" s="67" t="n"/>
      <c r="M33" s="67" t="n"/>
      <c r="N33" s="67" t="n"/>
      <c r="O33" s="64" t="n"/>
      <c r="P33" s="64" t="n"/>
      <c r="Q33" s="67" t="n"/>
      <c r="R33" s="67" t="n"/>
      <c r="S33" s="67" t="n"/>
      <c r="T33" s="67" t="n"/>
      <c r="U33" s="64" t="n"/>
      <c r="V33" s="64" t="n"/>
    </row>
    <row r="34" ht="18" customHeight="1" s="159" thickBot="1" thickTop="1">
      <c r="A34" s="73" t="n"/>
      <c r="B34" s="73" t="n"/>
      <c r="C34" s="126" t="n"/>
      <c r="D34" s="109" t="inlineStr">
        <is>
          <t>Validação final dos gates de qualidade e regressão</t>
        </is>
      </c>
      <c r="E34" s="109" t="inlineStr">
        <is>
          <t>Todos; lint, typecheck e test</t>
        </is>
      </c>
      <c r="F34" s="68" t="n">
        <v>6</v>
      </c>
      <c r="G34" s="65" t="n">
        <v>1</v>
      </c>
      <c r="H34" s="75" t="n"/>
      <c r="I34" s="75" t="n"/>
      <c r="J34" s="66">
        <f>IF(G34&gt;0,I34/G34,0)</f>
        <v/>
      </c>
      <c r="K34" s="67" t="n"/>
      <c r="L34" s="67" t="n"/>
      <c r="M34" s="67" t="n"/>
      <c r="N34" s="67" t="n"/>
      <c r="O34" s="64" t="n"/>
      <c r="P34" s="64" t="n"/>
      <c r="Q34" s="67" t="n"/>
      <c r="R34" s="67" t="n"/>
      <c r="S34" s="67" t="n"/>
      <c r="T34" s="67" t="n"/>
      <c r="U34" s="64" t="n"/>
      <c r="V34" s="64" t="n"/>
    </row>
    <row r="35" ht="18" customHeight="1" s="159" thickBot="1" thickTop="1">
      <c r="A35" s="73" t="n"/>
      <c r="B35" s="73" t="n"/>
      <c r="C35" s="126" t="n"/>
      <c r="D35" s="109" t="n"/>
      <c r="E35" s="109" t="n"/>
      <c r="F35" s="68" t="n"/>
      <c r="G35" s="65" t="n"/>
      <c r="H35" s="75" t="n"/>
      <c r="I35" s="75" t="n"/>
      <c r="J35" s="66" t="n"/>
      <c r="K35" s="67" t="n"/>
      <c r="L35" s="67" t="n"/>
      <c r="M35" s="67" t="n"/>
      <c r="N35" s="67" t="n"/>
      <c r="O35" s="64" t="n"/>
      <c r="P35" s="64" t="n"/>
      <c r="Q35" s="67" t="n"/>
      <c r="R35" s="67" t="n"/>
      <c r="S35" s="67" t="n"/>
      <c r="T35" s="67" t="n"/>
      <c r="U35" s="64" t="n"/>
      <c r="V35" s="64" t="n"/>
    </row>
    <row r="36" ht="18" customHeight="1" s="159" thickBot="1" thickTop="1">
      <c r="A36" s="73" t="n"/>
      <c r="B36" s="73" t="n"/>
      <c r="C36" s="126" t="n"/>
      <c r="D36" s="109" t="n"/>
      <c r="E36" s="109" t="n"/>
      <c r="F36" s="68" t="n"/>
      <c r="G36" s="65" t="n"/>
      <c r="H36" s="75" t="n"/>
      <c r="I36" s="75" t="n"/>
      <c r="J36" s="66" t="n"/>
      <c r="K36" s="67" t="n"/>
      <c r="L36" s="67" t="n"/>
      <c r="M36" s="67" t="n"/>
      <c r="N36" s="67" t="n"/>
      <c r="O36" s="64" t="n"/>
      <c r="P36" s="64" t="n"/>
      <c r="Q36" s="67" t="n"/>
      <c r="R36" s="67" t="n"/>
      <c r="S36" s="67" t="n"/>
      <c r="T36" s="67" t="n"/>
      <c r="U36" s="64" t="n"/>
      <c r="V36" s="64" t="n"/>
    </row>
    <row r="37" ht="18" customHeight="1" s="159" thickBot="1" thickTop="1">
      <c r="A37" s="73" t="n"/>
      <c r="B37" s="73" t="n"/>
      <c r="C37" s="126" t="n"/>
      <c r="D37" s="109" t="n"/>
      <c r="E37" s="109" t="n"/>
      <c r="F37" s="68" t="n"/>
      <c r="G37" s="65" t="n"/>
      <c r="H37" s="75" t="n"/>
      <c r="I37" s="75" t="n"/>
      <c r="J37" s="66" t="n"/>
      <c r="K37" s="67" t="n"/>
      <c r="L37" s="67" t="n"/>
      <c r="M37" s="67" t="n"/>
      <c r="N37" s="67" t="n"/>
      <c r="O37" s="64" t="n"/>
      <c r="P37" s="64" t="n"/>
      <c r="Q37" s="67" t="n"/>
      <c r="R37" s="67" t="n"/>
      <c r="S37" s="67" t="n"/>
      <c r="T37" s="67" t="n"/>
      <c r="U37" s="64" t="n"/>
      <c r="V37" s="64" t="n"/>
    </row>
    <row r="38" ht="18" customFormat="1" customHeight="1" s="88" thickBot="1" thickTop="1">
      <c r="A38" s="78" t="n">
        <v>4</v>
      </c>
      <c r="B38" s="78" t="n"/>
      <c r="C38" s="128" t="n"/>
      <c r="D38" s="81" t="inlineStr">
        <is>
          <t>BACKEND E BASE DE DADOS</t>
        </is>
      </c>
      <c r="E38" s="81" t="inlineStr">
        <is>
          <t>Eunice Domingos + Magno Cândido</t>
        </is>
      </c>
      <c r="F38" s="84" t="n">
        <v>4</v>
      </c>
      <c r="G38" s="85" t="n">
        <v>2</v>
      </c>
      <c r="H38" s="80" t="n">
        <v>4</v>
      </c>
      <c r="I38" s="80" t="n">
        <v>0.5</v>
      </c>
      <c r="J38" s="77">
        <f>IF(G38&gt;0,I38/G38,0)</f>
        <v/>
      </c>
      <c r="K38" s="67" t="n"/>
      <c r="L38" s="67" t="n"/>
      <c r="M38" s="67" t="n"/>
      <c r="N38" s="67" t="n"/>
      <c r="O38" s="64" t="n"/>
      <c r="P38" s="64" t="n"/>
      <c r="Q38" s="67" t="n"/>
      <c r="R38" s="67" t="n"/>
      <c r="S38" s="67" t="n"/>
      <c r="T38" s="67" t="n"/>
      <c r="U38" s="64" t="n"/>
      <c r="V38" s="64" t="n"/>
      <c r="W38" s="86" t="n"/>
      <c r="X38" s="86" t="n"/>
      <c r="Y38" s="86" t="n"/>
      <c r="Z38" s="86" t="n"/>
      <c r="AA38" s="86" t="n"/>
      <c r="AB38" s="86" t="n"/>
      <c r="AC38" s="87" t="n"/>
      <c r="AD38" s="87" t="n"/>
      <c r="AE38" s="87" t="n"/>
      <c r="AF38" s="87" t="n"/>
      <c r="AG38" s="87" t="n"/>
      <c r="AH38" s="87" t="n"/>
    </row>
    <row r="39" ht="18" customHeight="1" s="159" thickBot="1" thickTop="1">
      <c r="A39" s="73" t="n"/>
      <c r="B39" s="73" t="n"/>
      <c r="C39" s="126" t="n"/>
      <c r="D39" s="109" t="inlineStr">
        <is>
          <t>Criar backend FastAPI com namespace /api/v1</t>
        </is>
      </c>
      <c r="E39" s="109" t="inlineStr">
        <is>
          <t>Story 5.1; health endpoint e estrutura inicial</t>
        </is>
      </c>
      <c r="F39" s="68" t="n">
        <v>4</v>
      </c>
      <c r="G39" s="65" t="n">
        <v>1</v>
      </c>
      <c r="H39" s="68" t="n">
        <v>4</v>
      </c>
      <c r="I39" s="75" t="n">
        <v>0.5</v>
      </c>
      <c r="J39" s="66">
        <f>IF(G39&gt;0,I39/G39,0)</f>
        <v/>
      </c>
      <c r="K39" s="67" t="n"/>
      <c r="L39" s="67" t="n"/>
      <c r="M39" s="67" t="n"/>
      <c r="N39" s="67" t="n"/>
      <c r="O39" s="64" t="n"/>
      <c r="P39" s="64" t="n"/>
      <c r="Q39" s="67" t="n"/>
      <c r="R39" s="67" t="n"/>
      <c r="S39" s="67" t="n"/>
      <c r="T39" s="67" t="n"/>
      <c r="U39" s="64" t="n"/>
      <c r="V39" s="64" t="n"/>
    </row>
    <row r="40" ht="18" customHeight="1" s="159" thickBot="1" thickTop="1">
      <c r="A40" s="73" t="n"/>
      <c r="B40" s="73" t="n"/>
      <c r="C40" s="126" t="n"/>
      <c r="D40" s="109" t="inlineStr">
        <is>
          <t>Configurar SQLite, Alembic e modelo académico base</t>
        </is>
      </c>
      <c r="E40" s="109" t="inlineStr">
        <is>
          <t>Story 5.1; estudantes, turmas, notas e publicações</t>
        </is>
      </c>
      <c r="F40" s="68" t="n">
        <v>4</v>
      </c>
      <c r="G40" s="65" t="n">
        <v>2</v>
      </c>
      <c r="H40" s="68" t="n">
        <v>4</v>
      </c>
      <c r="I40" s="75" t="n">
        <v>0.5</v>
      </c>
      <c r="J40" s="66">
        <f>IF(G40&gt;0,I40/G40,0)</f>
        <v/>
      </c>
      <c r="K40" s="67" t="n"/>
      <c r="L40" s="67" t="n"/>
      <c r="M40" s="67" t="n"/>
      <c r="N40" s="67" t="n"/>
      <c r="O40" s="64" t="n"/>
      <c r="P40" s="64" t="n"/>
      <c r="Q40" s="67" t="n"/>
      <c r="R40" s="67" t="n"/>
      <c r="S40" s="67" t="n"/>
      <c r="T40" s="67" t="n"/>
      <c r="U40" s="64" t="n"/>
      <c r="V40" s="64" t="n"/>
    </row>
    <row r="41" ht="18" customHeight="1" s="159" thickBot="1" thickTop="1">
      <c r="A41" s="73" t="n"/>
      <c r="B41" s="73" t="n"/>
      <c r="C41" s="126" t="n"/>
      <c r="D41" s="109" t="inlineStr">
        <is>
          <t>Documentar comandos locais e compatibilidade Node</t>
        </is>
      </c>
      <c r="E41" s="109" t="inlineStr">
        <is>
          <t>Eunice + Magno; preservar fluxo legado</t>
        </is>
      </c>
      <c r="F41" s="68" t="n">
        <v>5</v>
      </c>
      <c r="G41" s="65" t="n">
        <v>1</v>
      </c>
      <c r="H41" s="68" t="n"/>
      <c r="I41" s="75" t="n"/>
      <c r="J41" s="66">
        <f>IF(G41&gt;0,I41/G41,0)</f>
        <v/>
      </c>
      <c r="K41" s="67" t="n"/>
      <c r="L41" s="67" t="n"/>
      <c r="M41" s="67" t="n"/>
      <c r="N41" s="67" t="n"/>
      <c r="O41" s="64" t="n"/>
      <c r="P41" s="64" t="n"/>
      <c r="Q41" s="67" t="n"/>
      <c r="R41" s="67" t="n"/>
      <c r="S41" s="67" t="n"/>
      <c r="T41" s="67" t="n"/>
      <c r="U41" s="64" t="n"/>
      <c r="V41" s="64" t="n"/>
    </row>
    <row r="42" ht="18" customFormat="1" customHeight="1" s="88" thickBot="1" thickTop="1">
      <c r="A42" s="78" t="n">
        <v>5</v>
      </c>
      <c r="B42" s="78" t="n"/>
      <c r="C42" s="128" t="n"/>
      <c r="D42" s="79" t="inlineStr">
        <is>
          <t>AUTENTICAÇÃO E CONTEXTOS</t>
        </is>
      </c>
      <c r="E42" s="79" t="inlineStr">
        <is>
          <t>Eunice + Magno + Credo</t>
        </is>
      </c>
      <c r="F42" s="84" t="n">
        <v>5</v>
      </c>
      <c r="G42" s="85" t="n">
        <v>1</v>
      </c>
      <c r="H42" s="80" t="n"/>
      <c r="I42" s="80" t="n"/>
      <c r="J42" s="77">
        <f>IF(G42&gt;0,I42/G42,0)</f>
        <v/>
      </c>
      <c r="K42" s="67" t="n"/>
      <c r="L42" s="67" t="n"/>
      <c r="M42" s="67" t="n"/>
      <c r="N42" s="67" t="n"/>
      <c r="O42" s="64" t="n"/>
      <c r="P42" s="64" t="n"/>
      <c r="Q42" s="67" t="n"/>
      <c r="R42" s="67" t="n"/>
      <c r="S42" s="67" t="n"/>
      <c r="T42" s="67" t="n"/>
      <c r="U42" s="64" t="n"/>
      <c r="V42" s="64" t="n"/>
      <c r="W42" s="86" t="n"/>
      <c r="X42" s="86" t="n"/>
      <c r="Y42" s="86" t="n"/>
      <c r="Z42" s="86" t="n"/>
      <c r="AA42" s="86" t="n"/>
      <c r="AB42" s="86" t="n"/>
      <c r="AC42" s="87" t="n"/>
      <c r="AD42" s="87" t="n"/>
      <c r="AE42" s="87" t="n"/>
      <c r="AF42" s="87" t="n"/>
      <c r="AG42" s="87" t="n"/>
      <c r="AH42" s="87" t="n"/>
    </row>
    <row r="43" ht="18" customFormat="1" customHeight="1" s="88" thickBot="1" thickTop="1">
      <c r="A43" s="73" t="n"/>
      <c r="B43" s="73" t="n"/>
      <c r="C43" s="126" t="n"/>
      <c r="D43" s="74" t="inlineStr">
        <is>
          <t>Implementar utilizadores, sessões e papéis iniciais</t>
        </is>
      </c>
      <c r="E43" s="74" t="inlineStr">
        <is>
          <t>Story 5.2; professor, estudante e delegado</t>
        </is>
      </c>
      <c r="F43" s="68" t="n">
        <v>5</v>
      </c>
      <c r="G43" s="65" t="n">
        <v>1</v>
      </c>
      <c r="H43" s="75" t="n"/>
      <c r="I43" s="75" t="n"/>
      <c r="J43" s="66">
        <f>IF(G43&gt;0,I43/G43,0)</f>
        <v/>
      </c>
      <c r="K43" s="67" t="n"/>
      <c r="L43" s="67" t="n"/>
      <c r="M43" s="67" t="n"/>
      <c r="N43" s="67" t="n"/>
      <c r="O43" s="64" t="n"/>
      <c r="P43" s="64" t="n"/>
      <c r="Q43" s="67" t="n"/>
      <c r="R43" s="67" t="n"/>
      <c r="S43" s="67" t="n"/>
      <c r="T43" s="67" t="n"/>
      <c r="U43" s="64" t="n"/>
      <c r="V43" s="64" t="n"/>
      <c r="W43" s="86" t="n"/>
      <c r="X43" s="86" t="n"/>
      <c r="Y43" s="86" t="n"/>
      <c r="Z43" s="86" t="n"/>
      <c r="AA43" s="86" t="n"/>
      <c r="AB43" s="86" t="n"/>
      <c r="AC43" s="87" t="n"/>
      <c r="AD43" s="87" t="n"/>
      <c r="AE43" s="87" t="n"/>
      <c r="AF43" s="87" t="n"/>
      <c r="AG43" s="87" t="n"/>
      <c r="AH43" s="87" t="n"/>
    </row>
    <row r="44" ht="18" customFormat="1" customHeight="1" s="88" thickBot="1" thickTop="1">
      <c r="A44" s="73" t="n"/>
      <c r="B44" s="73" t="n"/>
      <c r="C44" s="126" t="n"/>
      <c r="D44" s="74" t="inlineStr">
        <is>
          <t>Criar login por número de estudante e palavra-passe</t>
        </is>
      </c>
      <c r="E44" s="74" t="inlineStr">
        <is>
          <t>Story 5.2; troca obrigatória no primeiro acesso</t>
        </is>
      </c>
      <c r="F44" s="68" t="n">
        <v>5</v>
      </c>
      <c r="G44" s="65" t="n">
        <v>1</v>
      </c>
      <c r="H44" s="75" t="n"/>
      <c r="I44" s="75" t="n"/>
      <c r="J44" s="66">
        <f>IF(G44&gt;0,I44/G44,0)</f>
        <v/>
      </c>
      <c r="K44" s="67" t="n"/>
      <c r="L44" s="67" t="n"/>
      <c r="M44" s="67" t="n"/>
      <c r="N44" s="67" t="n"/>
      <c r="O44" s="64" t="n"/>
      <c r="P44" s="64" t="n"/>
      <c r="Q44" s="67" t="n"/>
      <c r="R44" s="67" t="n"/>
      <c r="S44" s="67" t="n"/>
      <c r="T44" s="67" t="n"/>
      <c r="U44" s="64" t="n"/>
      <c r="V44" s="64" t="n"/>
      <c r="W44" s="86" t="n"/>
      <c r="X44" s="86" t="n"/>
      <c r="Y44" s="86" t="n"/>
      <c r="Z44" s="86" t="n"/>
      <c r="AA44" s="86" t="n"/>
      <c r="AB44" s="86" t="n"/>
      <c r="AC44" s="87" t="n"/>
      <c r="AD44" s="87" t="n"/>
      <c r="AE44" s="87" t="n"/>
      <c r="AF44" s="87" t="n"/>
      <c r="AG44" s="87" t="n"/>
      <c r="AH44" s="87" t="n"/>
    </row>
    <row r="45" ht="18" customFormat="1" customHeight="1" s="88" thickBot="1" thickTop="1">
      <c r="A45" s="73" t="n"/>
      <c r="B45" s="73" t="n"/>
      <c r="C45" s="126" t="n"/>
      <c r="D45" s="74" t="inlineStr">
        <is>
          <t>Modelar contextos académicos do professor</t>
        </is>
      </c>
      <c r="E45" s="74" t="inlineStr">
        <is>
          <t>Story 5.4; turma + disciplina + semestre + turno</t>
        </is>
      </c>
      <c r="F45" s="68" t="n">
        <v>5</v>
      </c>
      <c r="G45" s="65" t="n">
        <v>1</v>
      </c>
      <c r="H45" s="75" t="n"/>
      <c r="I45" s="75" t="n"/>
      <c r="J45" s="66">
        <f>IF(G45&gt;0,I45/G45,0)</f>
        <v/>
      </c>
      <c r="K45" s="67" t="n"/>
      <c r="L45" s="67" t="n"/>
      <c r="M45" s="67" t="n"/>
      <c r="N45" s="67" t="n"/>
      <c r="O45" s="64" t="n"/>
      <c r="P45" s="64" t="n"/>
      <c r="Q45" s="67" t="n"/>
      <c r="R45" s="67" t="n"/>
      <c r="S45" s="67" t="n"/>
      <c r="T45" s="67" t="n"/>
      <c r="U45" s="64" t="n"/>
      <c r="V45" s="64" t="n"/>
      <c r="W45" s="86" t="n"/>
      <c r="X45" s="86" t="n"/>
      <c r="Y45" s="86" t="n"/>
      <c r="Z45" s="86" t="n"/>
      <c r="AA45" s="86" t="n"/>
      <c r="AB45" s="86" t="n"/>
      <c r="AC45" s="87" t="n"/>
      <c r="AD45" s="87" t="n"/>
      <c r="AE45" s="87" t="n"/>
      <c r="AF45" s="87" t="n"/>
      <c r="AG45" s="87" t="n"/>
      <c r="AH45" s="87" t="n"/>
    </row>
    <row r="46" ht="18" customFormat="1" customHeight="1" s="88" thickBot="1" thickTop="1">
      <c r="A46" s="73" t="n"/>
      <c r="B46" s="73" t="n"/>
      <c r="C46" s="126" t="n"/>
      <c r="D46" s="74" t="inlineStr">
        <is>
          <t>Associar uploads e notas ao contexto correcto</t>
        </is>
      </c>
      <c r="E46" s="74" t="inlineStr">
        <is>
          <t>Story 5.4; evitar mistura de turmas ou disciplinas</t>
        </is>
      </c>
      <c r="F46" s="68" t="n">
        <v>5</v>
      </c>
      <c r="G46" s="65" t="n">
        <v>1</v>
      </c>
      <c r="H46" s="75" t="n"/>
      <c r="I46" s="75" t="n"/>
      <c r="J46" s="66">
        <f>IF(G46&gt;0,I46/G46,0)</f>
        <v/>
      </c>
      <c r="K46" s="67" t="n"/>
      <c r="L46" s="67" t="n"/>
      <c r="M46" s="67" t="n"/>
      <c r="N46" s="67" t="n"/>
      <c r="O46" s="64" t="n"/>
      <c r="P46" s="64" t="n"/>
      <c r="Q46" s="67" t="n"/>
      <c r="R46" s="67" t="n"/>
      <c r="S46" s="67" t="n"/>
      <c r="T46" s="67" t="n"/>
      <c r="U46" s="64" t="n"/>
      <c r="V46" s="64" t="n"/>
      <c r="W46" s="86" t="n"/>
      <c r="X46" s="86" t="n"/>
      <c r="Y46" s="86" t="n"/>
      <c r="Z46" s="86" t="n"/>
      <c r="AA46" s="86" t="n"/>
      <c r="AB46" s="86" t="n"/>
      <c r="AC46" s="87" t="n"/>
      <c r="AD46" s="87" t="n"/>
      <c r="AE46" s="87" t="n"/>
      <c r="AF46" s="87" t="n"/>
      <c r="AG46" s="87" t="n"/>
      <c r="AH46" s="87" t="n"/>
    </row>
    <row r="47" ht="18" customFormat="1" customHeight="1" s="88" thickBot="1" thickTop="1">
      <c r="A47" s="73" t="n"/>
      <c r="B47" s="73" t="n"/>
      <c r="C47" s="126" t="n"/>
      <c r="D47" s="74" t="inlineStr">
        <is>
          <t>Registar auditoria mínima e limites do delegado</t>
        </is>
      </c>
      <c r="E47" s="74" t="inlineStr">
        <is>
          <t>Stories 5.2/5.4; acções sensíveis validadas</t>
        </is>
      </c>
      <c r="F47" s="68" t="n">
        <v>5</v>
      </c>
      <c r="G47" s="65" t="n">
        <v>1</v>
      </c>
      <c r="H47" s="75" t="n"/>
      <c r="I47" s="75" t="n"/>
      <c r="J47" s="66">
        <f>IF(G47&gt;0,I47/G47,0)</f>
        <v/>
      </c>
      <c r="K47" s="67" t="n"/>
      <c r="L47" s="67" t="n"/>
      <c r="M47" s="67" t="n"/>
      <c r="N47" s="67" t="n"/>
      <c r="O47" s="64" t="n"/>
      <c r="P47" s="64" t="n"/>
      <c r="Q47" s="67" t="n"/>
      <c r="R47" s="67" t="n"/>
      <c r="S47" s="67" t="n"/>
      <c r="T47" s="67" t="n"/>
      <c r="U47" s="64" t="n"/>
      <c r="V47" s="64" t="n"/>
      <c r="W47" s="86" t="n"/>
      <c r="X47" s="86" t="n"/>
      <c r="Y47" s="86" t="n"/>
      <c r="Z47" s="86" t="n"/>
      <c r="AA47" s="86" t="n"/>
      <c r="AB47" s="86" t="n"/>
      <c r="AC47" s="87" t="n"/>
      <c r="AD47" s="87" t="n"/>
      <c r="AE47" s="87" t="n"/>
      <c r="AF47" s="87" t="n"/>
      <c r="AG47" s="87" t="n"/>
      <c r="AH47" s="87" t="n"/>
    </row>
    <row r="48" ht="18" customHeight="1" s="159" thickBot="1" thickTop="1">
      <c r="A48" s="73" t="n"/>
      <c r="B48" s="73" t="n"/>
      <c r="C48" s="126" t="n"/>
      <c r="D48" s="74" t="n"/>
      <c r="E48" s="74" t="n"/>
      <c r="F48" s="68" t="n"/>
      <c r="G48" s="65" t="n"/>
      <c r="H48" s="75" t="n"/>
      <c r="I48" s="75" t="n"/>
      <c r="J48" s="66" t="n"/>
      <c r="K48" s="67" t="n"/>
      <c r="L48" s="67" t="n"/>
      <c r="M48" s="67" t="n"/>
      <c r="N48" s="67" t="n"/>
      <c r="O48" s="64" t="n"/>
      <c r="P48" s="64" t="n"/>
      <c r="Q48" s="67" t="n"/>
      <c r="R48" s="67" t="n"/>
      <c r="S48" s="67" t="n"/>
      <c r="T48" s="67" t="n"/>
      <c r="U48" s="64" t="n"/>
      <c r="V48" s="64" t="n"/>
    </row>
    <row r="49" ht="18" customFormat="1" customHeight="1" s="83" thickBot="1" thickTop="1">
      <c r="A49" s="78" t="n">
        <v>6</v>
      </c>
      <c r="B49" s="78" t="n"/>
      <c r="C49" s="128" t="n"/>
      <c r="D49" s="79" t="inlineStr">
        <is>
          <t>FRONTEND E ENTREGA FINAL</t>
        </is>
      </c>
      <c r="E49" s="79" t="inlineStr">
        <is>
          <t>Djenabu Kaba + todos</t>
        </is>
      </c>
      <c r="F49" s="80" t="n">
        <v>5</v>
      </c>
      <c r="G49" s="80" t="n">
        <v>2</v>
      </c>
      <c r="H49" s="80" t="n"/>
      <c r="I49" s="80" t="n"/>
      <c r="J49" s="77">
        <f>IF(G49&gt;0,I49/G49,0)</f>
        <v/>
      </c>
      <c r="K49" s="67" t="n"/>
      <c r="L49" s="67" t="n"/>
      <c r="M49" s="67" t="n"/>
      <c r="N49" s="67" t="n"/>
      <c r="O49" s="64" t="n"/>
      <c r="P49" s="64" t="n"/>
      <c r="Q49" s="67" t="n"/>
      <c r="R49" s="67" t="n"/>
      <c r="S49" s="67" t="n"/>
      <c r="T49" s="67" t="n"/>
      <c r="U49" s="64" t="n"/>
      <c r="V49" s="64" t="n"/>
      <c r="W49" s="55" t="n"/>
      <c r="X49" s="55" t="n"/>
      <c r="Y49" s="55" t="n"/>
      <c r="Z49" s="55" t="n"/>
      <c r="AA49" s="55" t="n"/>
      <c r="AB49" s="55" t="n"/>
      <c r="AC49" s="82" t="n"/>
      <c r="AD49" s="82" t="n"/>
      <c r="AE49" s="82" t="n"/>
      <c r="AF49" s="82" t="n"/>
      <c r="AG49" s="82" t="n"/>
      <c r="AH49" s="82" t="n"/>
    </row>
    <row r="50" ht="18" customHeight="1" s="159" thickBot="1" thickTop="1">
      <c r="A50" s="73" t="n"/>
      <c r="B50" s="73" t="n"/>
      <c r="C50" s="126" t="n"/>
      <c r="D50" s="74" t="inlineStr">
        <is>
          <t>Implementar telas essenciais do professor</t>
        </is>
      </c>
      <c r="E50" s="74" t="inlineStr">
        <is>
          <t>Djenabu + Nathalia; contexto, upload e publicação</t>
        </is>
      </c>
      <c r="F50" s="75" t="n">
        <v>5</v>
      </c>
      <c r="G50" s="75" t="n">
        <v>1</v>
      </c>
      <c r="H50" s="75" t="n"/>
      <c r="I50" s="75" t="n"/>
      <c r="J50" s="66">
        <f>IF(G50&gt;0,I50/G50,0)</f>
        <v/>
      </c>
      <c r="K50" s="67" t="n"/>
      <c r="L50" s="67" t="n"/>
      <c r="M50" s="67" t="n"/>
      <c r="N50" s="67" t="n"/>
      <c r="O50" s="64" t="n"/>
      <c r="P50" s="64" t="n"/>
      <c r="Q50" s="67" t="n"/>
      <c r="R50" s="67" t="n"/>
      <c r="S50" s="67" t="n"/>
      <c r="T50" s="67" t="n"/>
      <c r="U50" s="64" t="n"/>
      <c r="V50" s="64" t="n"/>
    </row>
    <row r="51" ht="18" customHeight="1" s="159" thickBot="1" thickTop="1">
      <c r="A51" s="73" t="n"/>
      <c r="B51" s="73" t="n"/>
      <c r="C51" s="126" t="n"/>
      <c r="D51" s="74" t="inlineStr">
        <is>
          <t>Criar fluxo de publicação/broadcast de notas</t>
        </is>
      </c>
      <c r="E51" s="74" t="inlineStr">
        <is>
          <t>Story 5.3; snapshots após acção explícita</t>
        </is>
      </c>
      <c r="F51" s="75" t="n">
        <v>6</v>
      </c>
      <c r="G51" s="75" t="n">
        <v>1</v>
      </c>
      <c r="H51" s="75" t="n"/>
      <c r="I51" s="75" t="n"/>
      <c r="J51" s="66">
        <f>IF(G51&gt;0,I51/G51,0)</f>
        <v/>
      </c>
      <c r="K51" s="67" t="n"/>
      <c r="L51" s="67" t="n"/>
      <c r="M51" s="67" t="n"/>
      <c r="N51" s="67" t="n"/>
      <c r="O51" s="64" t="n"/>
      <c r="P51" s="64" t="n"/>
      <c r="Q51" s="67" t="n"/>
      <c r="R51" s="67" t="n"/>
      <c r="S51" s="67" t="n"/>
      <c r="T51" s="67" t="n"/>
      <c r="U51" s="64" t="n"/>
      <c r="V51" s="64" t="n"/>
    </row>
    <row r="52" ht="18" customHeight="1" s="159" thickBot="1" thickTop="1">
      <c r="A52" s="73" t="n"/>
      <c r="B52" s="73" t="n"/>
      <c r="C52" s="126" t="n"/>
      <c r="D52" s="74" t="inlineStr">
        <is>
          <t>Criar portal básico do estudante para notas publicadas</t>
        </is>
      </c>
      <c r="E52" s="74" t="inlineStr">
        <is>
          <t>Story 5.5; leitura de snapshots actuais</t>
        </is>
      </c>
      <c r="F52" s="75" t="n">
        <v>6</v>
      </c>
      <c r="G52" s="75" t="n">
        <v>1</v>
      </c>
      <c r="H52" s="75" t="n"/>
      <c r="I52" s="75" t="n"/>
      <c r="J52" s="66">
        <f>IF(G52&gt;0,I52/G52,0)</f>
        <v/>
      </c>
      <c r="K52" s="67" t="n"/>
      <c r="L52" s="67" t="n"/>
      <c r="M52" s="67" t="n"/>
      <c r="N52" s="67" t="n"/>
      <c r="O52" s="64" t="n"/>
      <c r="P52" s="64" t="n"/>
      <c r="Q52" s="67" t="n"/>
      <c r="R52" s="67" t="n"/>
      <c r="S52" s="67" t="n"/>
      <c r="T52" s="67" t="n"/>
      <c r="U52" s="64" t="n"/>
      <c r="V52" s="64" t="n"/>
    </row>
    <row r="53" ht="18" customHeight="1" s="159" thickBot="1" thickTop="1">
      <c r="A53" s="73" t="n"/>
      <c r="B53" s="73" t="n"/>
      <c r="C53" s="126" t="n"/>
      <c r="D53" s="74" t="inlineStr">
        <is>
          <t>Integração final, correcções e ensaio de demonstração</t>
        </is>
      </c>
      <c r="E53" s="74" t="inlineStr">
        <is>
          <t>Todos; validar caminho feliz e erros principais</t>
        </is>
      </c>
      <c r="F53" s="75" t="n">
        <v>6</v>
      </c>
      <c r="G53" s="75" t="n">
        <v>1</v>
      </c>
      <c r="H53" s="75" t="n"/>
      <c r="I53" s="75" t="n"/>
      <c r="J53" s="66">
        <f>IF(G53&gt;0,I53/G53,0)</f>
        <v/>
      </c>
      <c r="K53" s="67" t="n"/>
      <c r="L53" s="67" t="n"/>
      <c r="M53" s="67" t="n"/>
      <c r="N53" s="67" t="n"/>
      <c r="O53" s="64" t="n"/>
      <c r="P53" s="64" t="n"/>
      <c r="Q53" s="67" t="n"/>
      <c r="R53" s="67" t="n"/>
      <c r="S53" s="67" t="n"/>
      <c r="T53" s="67" t="n"/>
      <c r="U53" s="64" t="n"/>
      <c r="V53" s="64" t="n"/>
    </row>
    <row r="54" ht="18" customHeight="1" s="159" thickBot="1" thickTop="1">
      <c r="A54" s="73" t="n"/>
      <c r="B54" s="73" t="n"/>
      <c r="C54" s="126" t="n"/>
      <c r="D54" s="74" t="inlineStr">
        <is>
          <t>Entrega final do projecto em 12/06/2026</t>
        </is>
      </c>
      <c r="E54" s="74" t="inlineStr">
        <is>
          <t>Todos; pacote final e documentação resumida</t>
        </is>
      </c>
      <c r="F54" s="75" t="n">
        <v>6</v>
      </c>
      <c r="G54" s="75" t="n">
        <v>1</v>
      </c>
      <c r="H54" s="75" t="n"/>
      <c r="I54" s="75" t="n"/>
      <c r="J54" s="66">
        <f>IF(G54&gt;0,I54/G54,0)</f>
        <v/>
      </c>
      <c r="K54" s="67" t="n"/>
      <c r="L54" s="67" t="n"/>
      <c r="M54" s="67" t="n"/>
      <c r="N54" s="67" t="n"/>
      <c r="O54" s="64" t="n"/>
      <c r="P54" s="64" t="n"/>
      <c r="Q54" s="67" t="n"/>
      <c r="R54" s="67" t="n"/>
      <c r="S54" s="67" t="n"/>
      <c r="T54" s="67" t="n"/>
      <c r="U54" s="64" t="n"/>
      <c r="V54" s="64" t="n"/>
    </row>
    <row r="55" ht="17.5" customHeight="1" s="159" thickTop="1">
      <c r="D55" s="71" t="n"/>
      <c r="E55" s="71" t="n"/>
      <c r="F55" s="82" t="n"/>
    </row>
    <row r="56">
      <c r="A56" s="78" t="n">
        <v>7</v>
      </c>
      <c r="B56" s="78" t="n"/>
      <c r="C56" s="128" t="n"/>
      <c r="D56" s="79" t="inlineStr">
        <is>
          <t>CHATBOT IA WHATSAPP (EPIC 6)</t>
        </is>
      </c>
      <c r="E56" s="79" t="inlineStr">
        <is>
          <t>Eunice + Magno + Credo</t>
        </is>
      </c>
      <c r="F56" s="80" t="n">
        <v>5</v>
      </c>
      <c r="G56" s="80" t="n">
        <v>2</v>
      </c>
      <c r="H56" s="80" t="n"/>
      <c r="I56" s="80" t="n"/>
      <c r="J56" s="192">
        <f>IF(G56&gt;0,I56/G56,0)</f>
        <v/>
      </c>
      <c r="K56" s="67" t="n"/>
      <c r="L56" s="67" t="n"/>
      <c r="M56" s="67" t="n"/>
      <c r="N56" s="67" t="n"/>
      <c r="O56" s="64" t="n"/>
      <c r="P56" s="64" t="n"/>
      <c r="Q56" s="67" t="n"/>
      <c r="R56" s="67" t="n"/>
      <c r="S56" s="67" t="n"/>
      <c r="T56" s="67" t="n"/>
      <c r="U56" s="64" t="n"/>
      <c r="V56" s="64" t="n"/>
      <c r="W56" s="55" t="n"/>
      <c r="X56" s="55" t="n"/>
      <c r="Y56" s="55" t="n"/>
      <c r="Z56" s="55" t="n"/>
      <c r="AA56" s="55" t="n"/>
      <c r="AB56" s="55" t="n"/>
      <c r="AC56" s="82" t="n"/>
      <c r="AD56" s="82" t="n"/>
      <c r="AE56" s="82" t="n"/>
      <c r="AF56" s="82" t="n"/>
      <c r="AG56" s="82" t="n"/>
      <c r="AH56" s="82" t="n"/>
    </row>
    <row r="57">
      <c r="A57" s="73" t="n"/>
      <c r="B57" s="73" t="n"/>
      <c r="C57" s="126" t="n"/>
      <c r="D57" s="74" t="inlineStr">
        <is>
          <t>Criar webhook WhatsApp para receber mensagens de alunos</t>
        </is>
      </c>
      <c r="E57" s="74" t="inlineStr">
        <is>
          <t>Story 6.1; Eunice + Magno; identificação por nº telefone e segurança</t>
        </is>
      </c>
      <c r="F57" s="75" t="n">
        <v>5</v>
      </c>
      <c r="G57" s="75" t="n">
        <v>1</v>
      </c>
      <c r="H57" s="75" t="n"/>
      <c r="I57" s="75" t="n"/>
      <c r="J57" s="193">
        <f>IF(G57&gt;0,I57/G57,0)</f>
        <v/>
      </c>
      <c r="K57" s="67" t="n"/>
      <c r="L57" s="67" t="n"/>
      <c r="M57" s="67" t="n"/>
      <c r="N57" s="67" t="n"/>
      <c r="O57" s="64" t="n"/>
      <c r="P57" s="64" t="n"/>
      <c r="Q57" s="67" t="n"/>
      <c r="R57" s="67" t="n"/>
      <c r="S57" s="67" t="n"/>
      <c r="T57" s="67" t="n"/>
      <c r="U57" s="64" t="n"/>
      <c r="V57" s="64" t="n"/>
    </row>
    <row r="58">
      <c r="A58" s="73" t="n"/>
      <c r="B58" s="73" t="n"/>
      <c r="C58" s="126" t="n"/>
      <c r="D58" s="74" t="inlineStr">
        <is>
          <t>Serviço de IA para interpretar perguntas sobre notas publicadas</t>
        </is>
      </c>
      <c r="E58" s="74" t="inlineStr">
        <is>
          <t>Story 6.2; Eunice + Magno; Claude API ou OpenAI + notas publicadas</t>
        </is>
      </c>
      <c r="F58" s="75" t="n">
        <v>5</v>
      </c>
      <c r="G58" s="75" t="n">
        <v>1</v>
      </c>
      <c r="H58" s="75" t="n"/>
      <c r="I58" s="75" t="n"/>
      <c r="J58" s="193">
        <f>IF(G58&gt;0,I58/G58,0)</f>
        <v/>
      </c>
      <c r="K58" s="67" t="n"/>
      <c r="L58" s="67" t="n"/>
      <c r="M58" s="67" t="n"/>
      <c r="N58" s="67" t="n"/>
      <c r="O58" s="64" t="n"/>
      <c r="P58" s="64" t="n"/>
      <c r="Q58" s="67" t="n"/>
      <c r="R58" s="67" t="n"/>
      <c r="S58" s="67" t="n"/>
      <c r="T58" s="67" t="n"/>
      <c r="U58" s="64" t="n"/>
      <c r="V58" s="64" t="n"/>
    </row>
    <row r="59">
      <c r="A59" s="73" t="n"/>
      <c r="B59" s="73" t="n"/>
      <c r="C59" s="126" t="n"/>
      <c r="D59" s="74" t="inlineStr">
        <is>
          <t>Fluxo completo: webhook → IA → resposta WhatsApp + rate limiting</t>
        </is>
      </c>
      <c r="E59" s="74" t="inlineStr">
        <is>
          <t>Story 6.3; Eunice + Magno + Credo; testes E2E e validação final</t>
        </is>
      </c>
      <c r="F59" s="75" t="n">
        <v>6</v>
      </c>
      <c r="G59" s="75" t="n">
        <v>1</v>
      </c>
      <c r="H59" s="75" t="n"/>
      <c r="I59" s="75" t="n"/>
      <c r="J59" s="193">
        <f>IF(G59&gt;0,I59/G59,0)</f>
        <v/>
      </c>
      <c r="K59" s="67" t="n"/>
      <c r="L59" s="67" t="n"/>
      <c r="M59" s="67" t="n"/>
      <c r="N59" s="67" t="n"/>
      <c r="O59" s="64" t="n"/>
      <c r="P59" s="64" t="n"/>
      <c r="Q59" s="67" t="n"/>
      <c r="R59" s="67" t="n"/>
      <c r="S59" s="67" t="n"/>
      <c r="T59" s="67" t="n"/>
      <c r="U59" s="64" t="n"/>
      <c r="V59" s="64" t="n"/>
    </row>
    <row r="60">
      <c r="D60" s="72" t="n"/>
      <c r="E60" s="72" t="n"/>
    </row>
    <row r="61">
      <c r="D61" s="72" t="n"/>
      <c r="E61" s="72" t="n"/>
    </row>
    <row r="62">
      <c r="D62" s="72" t="n"/>
      <c r="E62" s="72" t="n"/>
    </row>
    <row r="63">
      <c r="D63" s="72" t="n"/>
      <c r="E63" s="72" t="n"/>
    </row>
    <row r="64">
      <c r="D64" s="72" t="n"/>
      <c r="E64" s="72" t="n"/>
    </row>
    <row r="65">
      <c r="D65" s="72" t="n"/>
      <c r="E65" s="72" t="n"/>
    </row>
    <row r="66">
      <c r="D66" s="72" t="n"/>
      <c r="E66" s="72" t="n"/>
    </row>
    <row r="67">
      <c r="D67" s="72" t="n"/>
      <c r="E67" s="72" t="n"/>
    </row>
    <row r="68">
      <c r="D68" s="72" t="n"/>
      <c r="E68" s="72" t="n"/>
    </row>
  </sheetData>
  <mergeCells count="14">
    <mergeCell ref="F7:J7"/>
    <mergeCell ref="Y6:AB8"/>
    <mergeCell ref="H8:H9"/>
    <mergeCell ref="F8:F9"/>
    <mergeCell ref="G8:G9"/>
    <mergeCell ref="I8:I9"/>
    <mergeCell ref="A1:P2"/>
    <mergeCell ref="AJ6:AN6"/>
    <mergeCell ref="J8:J9"/>
    <mergeCell ref="D7:D9"/>
    <mergeCell ref="F4:H4"/>
    <mergeCell ref="K6:P8"/>
    <mergeCell ref="AC6:AF8"/>
    <mergeCell ref="Q6:V8"/>
  </mergeCells>
  <conditionalFormatting sqref="K10:P54 W10:BV18">
    <cfRule type="expression" priority="26" dxfId="7">
      <formula>PorcentagemConcluída</formula>
    </cfRule>
    <cfRule type="expression" priority="27" dxfId="6">
      <formula>PorcentagemConcluídaPosterior</formula>
    </cfRule>
    <cfRule type="expression" priority="28" dxfId="5">
      <formula>Real</formula>
    </cfRule>
    <cfRule type="expression" priority="29" dxfId="4">
      <formula>RealPosterior</formula>
    </cfRule>
    <cfRule type="expression" priority="30" dxfId="3">
      <formula>Plano</formula>
    </cfRule>
    <cfRule type="expression" priority="31" dxfId="2">
      <formula>K$9=periodo_selecionado</formula>
    </cfRule>
    <cfRule type="expression" priority="33" dxfId="1">
      <formula>MOD(COLUMN(),2)</formula>
    </cfRule>
    <cfRule type="expression" priority="34" dxfId="0">
      <formula>MOD(COLUMN(),2)=0</formula>
    </cfRule>
  </conditionalFormatting>
  <conditionalFormatting sqref="K9:P9 W9:BV9">
    <cfRule type="expression" priority="32" dxfId="8">
      <formula>K$9=periodo_selecionado</formula>
    </cfRule>
  </conditionalFormatting>
  <conditionalFormatting sqref="K4">
    <cfRule type="expression" priority="18" dxfId="7">
      <formula>PorcentagemConcluída</formula>
    </cfRule>
    <cfRule type="expression" priority="19" dxfId="6">
      <formula>PorcentagemConcluídaPosterior</formula>
    </cfRule>
    <cfRule type="expression" priority="20" dxfId="5">
      <formula>Real</formula>
    </cfRule>
    <cfRule type="expression" priority="21" dxfId="4">
      <formula>RealPosterior</formula>
    </cfRule>
    <cfRule type="expression" priority="22" dxfId="3">
      <formula>Plano</formula>
    </cfRule>
    <cfRule type="expression" priority="23" dxfId="2">
      <formula>K$9=periodo_selecionado</formula>
    </cfRule>
    <cfRule type="expression" priority="24" dxfId="1">
      <formula>MOD(COLUMN(),2)</formula>
    </cfRule>
    <cfRule type="expression" priority="25" dxfId="0">
      <formula>MOD(COLUMN(),2)=0</formula>
    </cfRule>
  </conditionalFormatting>
  <conditionalFormatting sqref="Q10:V54">
    <cfRule type="expression" priority="9" dxfId="7">
      <formula>PorcentagemConcluída</formula>
    </cfRule>
    <cfRule type="expression" priority="10" dxfId="6">
      <formula>PorcentagemConcluídaPosterior</formula>
    </cfRule>
    <cfRule type="expression" priority="11" dxfId="5">
      <formula>Real</formula>
    </cfRule>
    <cfRule type="expression" priority="12" dxfId="4">
      <formula>RealPosterior</formula>
    </cfRule>
    <cfRule type="expression" priority="13" dxfId="3">
      <formula>Plano</formula>
    </cfRule>
    <cfRule type="expression" priority="14" dxfId="2">
      <formula>Q$9=periodo_selecionado</formula>
    </cfRule>
    <cfRule type="expression" priority="16" dxfId="1">
      <formula>MOD(COLUMN(),2)</formula>
    </cfRule>
    <cfRule type="expression" priority="17" dxfId="0">
      <formula>MOD(COLUMN(),2)=0</formula>
    </cfRule>
  </conditionalFormatting>
  <conditionalFormatting sqref="Q9:V9">
    <cfRule type="expression" priority="15" dxfId="8">
      <formula>Q$9=periodo_selecionado</formula>
    </cfRule>
  </conditionalFormatting>
  <conditionalFormatting sqref="Q4">
    <cfRule type="expression" priority="1" dxfId="7">
      <formula>PorcentagemConcluída</formula>
    </cfRule>
    <cfRule type="expression" priority="2" dxfId="6">
      <formula>PorcentagemConcluídaPosterior</formula>
    </cfRule>
    <cfRule type="expression" priority="3" dxfId="5">
      <formula>Real</formula>
    </cfRule>
    <cfRule type="expression" priority="4" dxfId="4">
      <formula>RealPosterior</formula>
    </cfRule>
    <cfRule type="expression" priority="5" dxfId="3">
      <formula>Plano</formula>
    </cfRule>
    <cfRule type="expression" priority="6" dxfId="2">
      <formula>Q$9=periodo_selecionado</formula>
    </cfRule>
    <cfRule type="expression" priority="7" dxfId="1">
      <formula>MOD(COLUMN(),2)</formula>
    </cfRule>
    <cfRule type="expression" priority="8" dxfId="0">
      <formula>MOD(COLUMN(),2)=0</formula>
    </cfRule>
  </conditionalFormatting>
  <pageMargins left="0.45" right="0.45" top="0.5" bottom="0.5" header="0.3" footer="0.3"/>
  <pageSetup orientation="landscape" paperSize="9" scale="4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Gráfico de Gantt do planejador de projetos</dc:title>
  <dcterms:created xsi:type="dcterms:W3CDTF">2014-06-02T09:47:56Z</dcterms:created>
  <dcterms:modified xsi:type="dcterms:W3CDTF">2026-05-31T19:05:10Z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TemplateID" fmtid="{D5CDD505-2E9C-101B-9397-08002B2CF9AE}" pid="2">
    <vt:lpwstr>TC028876019991</vt:lpwstr>
  </property>
</Properties>
</file>